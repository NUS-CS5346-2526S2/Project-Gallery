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66925"/>
  <xr:revisionPtr revIDLastSave="0" documentId="13_ncr:201_{69BAF437-9A7A-4FDA-B16D-49A262CB92E3}" xr6:coauthVersionLast="47" xr6:coauthVersionMax="47" xr10:uidLastSave="{00000000-0000-0000-0000-000000000000}"/>
  <bookViews>
    <workbookView xWindow="-25860" yWindow="-36" windowWidth="23040" windowHeight="12168" activeTab="3" xr2:uid="{065B27F4-E3DC-4036-BDAC-778706E413AC}"/>
  </bookViews>
  <sheets>
    <sheet name="Contents" sheetId="5" r:id="rId1"/>
    <sheet name="SSIC1996" sheetId="1" r:id="rId2"/>
    <sheet name="SSIC2005" sheetId="3" r:id="rId3"/>
    <sheet name="SSIC2020" sheetId="6" r:id="rId4"/>
  </sheets>
  <externalReferences>
    <externalReference r:id="rId5"/>
    <externalReference r:id="rId6"/>
    <externalReference r:id="rId7"/>
  </externalReferences>
  <definedNames>
    <definedName name="B">[1]AES!$A$1:$R$36</definedName>
    <definedName name="DynamicRange">OFFSET(Contents!$A$2,1,0,COUNTA(Contents!$A:$A)-1,1)</definedName>
    <definedName name="HTML_CodePage" hidden="1">1252</definedName>
    <definedName name="HTML_Control" localSheetId="0" hidden="1">{"'employm_t3'!$A$3:$G$30"}</definedName>
    <definedName name="HTML_Control" localSheetId="1" hidden="1">{"'employm_t3'!$A$3:$G$30"}</definedName>
    <definedName name="HTML_Control" localSheetId="2" hidden="1">{"'employm_t3'!$A$3:$G$30"}</definedName>
    <definedName name="HTML_Control" hidden="1">{"'employm_t3'!$A$3:$G$30"}</definedName>
    <definedName name="HTML_OBDlg2" hidden="1">FALSE</definedName>
    <definedName name="HTML_OBDlg3" hidden="1">TRUE</definedName>
    <definedName name="HTML_OBDlg4" hidden="1">TRUE</definedName>
    <definedName name="HTML_OS" hidden="1">0</definedName>
    <definedName name="HTML_PathFile" hidden="1">"D:\cmis\employm_t1.html"</definedName>
    <definedName name="HTML_PathTemplate" hidden="1">"D:\cmis\employm_t1temp.html"</definedName>
    <definedName name="mimister" localSheetId="2">#REF!</definedName>
    <definedName name="mimister">#REF!</definedName>
    <definedName name="_xlnm.Print_Area">#REF!</definedName>
    <definedName name="Print_Area_MI" localSheetId="2">'[2]3D-YRLY 91-97'!$F$33:$M$63</definedName>
    <definedName name="Print_Area_MI">#REF!</definedName>
    <definedName name="_xlnm.Print_Titles" localSheetId="1">SSIC1996!#REF!</definedName>
    <definedName name="_xlnm.Print_Titles" localSheetId="2">SSIC2005!$1:$3</definedName>
    <definedName name="qtrr">[3]Contents!$A$4:$A$7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5" l="1"/>
  <c r="E5" i="5"/>
  <c r="F5" i="5" l="1"/>
  <c r="E6" i="5"/>
  <c r="O8" i="5" l="1"/>
</calcChain>
</file>

<file path=xl/sharedStrings.xml><?xml version="1.0" encoding="utf-8"?>
<sst xmlns="http://schemas.openxmlformats.org/spreadsheetml/2006/main" count="446" uniqueCount="295">
  <si>
    <t>In Thousands</t>
  </si>
  <si>
    <t>SSIC 1996</t>
  </si>
  <si>
    <t>Industry</t>
  </si>
  <si>
    <t>TOTAL</t>
  </si>
  <si>
    <t>D15-35</t>
  </si>
  <si>
    <t>MANUFACTURING</t>
  </si>
  <si>
    <t>D15-16</t>
  </si>
  <si>
    <t>Food, Beverages &amp; Tobacco</t>
  </si>
  <si>
    <t>D17-19</t>
  </si>
  <si>
    <t>Textile &amp; Wearing Apparel</t>
  </si>
  <si>
    <t>D21-22</t>
  </si>
  <si>
    <t>Paper Products &amp; Publishing</t>
  </si>
  <si>
    <t>D23-25</t>
  </si>
  <si>
    <t>Petroleum, Chemical, Rubber &amp; Plastic Products</t>
  </si>
  <si>
    <t>D28</t>
  </si>
  <si>
    <t>Fabricated Metal Products</t>
  </si>
  <si>
    <t>D29</t>
  </si>
  <si>
    <t>Machinery &amp; Equipment</t>
  </si>
  <si>
    <t>D30</t>
  </si>
  <si>
    <t>Electrical Products</t>
  </si>
  <si>
    <t>D31</t>
  </si>
  <si>
    <t>Electronic Products</t>
  </si>
  <si>
    <t>D32</t>
  </si>
  <si>
    <t>Medical &amp; Precision Instruments</t>
  </si>
  <si>
    <t>D33</t>
  </si>
  <si>
    <t>Transport Equipment</t>
  </si>
  <si>
    <t>Other Manufacturing Industries</t>
  </si>
  <si>
    <t>F45</t>
  </si>
  <si>
    <t>CONSTRUCTION</t>
  </si>
  <si>
    <t>G-Q</t>
  </si>
  <si>
    <t>SERVICES</t>
  </si>
  <si>
    <t>G50-51</t>
  </si>
  <si>
    <t>Wholesale &amp; Retail Trade</t>
  </si>
  <si>
    <t>G50</t>
  </si>
  <si>
    <t>Wholesale Trade</t>
  </si>
  <si>
    <t>G51</t>
  </si>
  <si>
    <t>Retail Trade</t>
  </si>
  <si>
    <t>H55</t>
  </si>
  <si>
    <t xml:space="preserve">Hotels &amp; Restaurants    </t>
  </si>
  <si>
    <t>I60-64</t>
  </si>
  <si>
    <t>Transport, Storage &amp; Communications</t>
  </si>
  <si>
    <t>J65-66</t>
  </si>
  <si>
    <t>Financial Services</t>
  </si>
  <si>
    <t>J65</t>
  </si>
  <si>
    <t>Financial Institutions</t>
  </si>
  <si>
    <t>J66</t>
  </si>
  <si>
    <t>Insurance</t>
  </si>
  <si>
    <t>K70-74</t>
  </si>
  <si>
    <t>Business &amp; Real Estate Services</t>
  </si>
  <si>
    <t>L75-P95, Q99</t>
  </si>
  <si>
    <t>Community, Social and Personal Services</t>
  </si>
  <si>
    <t>L75, M80</t>
  </si>
  <si>
    <t>Public Administration &amp; Education</t>
  </si>
  <si>
    <t>N85</t>
  </si>
  <si>
    <t>Health &amp; Social Work</t>
  </si>
  <si>
    <t>O90-93, P95, Q99</t>
  </si>
  <si>
    <t>Other Community, Social &amp; Personal Services</t>
  </si>
  <si>
    <t>A, B, C, E, R</t>
  </si>
  <si>
    <t>OTHERS</t>
  </si>
  <si>
    <t>Source: Administrative Records and Labour Force Survey, Manpower Research &amp; Statistics Department, MOM</t>
  </si>
  <si>
    <t>Notes:</t>
  </si>
  <si>
    <t>1. Data are primarily from administrative records, with the self-employed component estimated from the Labour Force Survey.</t>
  </si>
  <si>
    <t>SSIC 2005</t>
  </si>
  <si>
    <t>C15-36</t>
  </si>
  <si>
    <t xml:space="preserve">MANUFACTURING </t>
  </si>
  <si>
    <t xml:space="preserve">C15-17 </t>
  </si>
  <si>
    <t xml:space="preserve">Food, Beverages &amp; Tobacco </t>
  </si>
  <si>
    <t xml:space="preserve">C22-23 </t>
  </si>
  <si>
    <t xml:space="preserve">Paper Products &amp; Printing </t>
  </si>
  <si>
    <t xml:space="preserve">C24-26 </t>
  </si>
  <si>
    <t>Petroleum, Chemical &amp; Pharmaceutical Products</t>
  </si>
  <si>
    <t xml:space="preserve">C27 </t>
  </si>
  <si>
    <t xml:space="preserve">Rubber &amp; Plastic Products </t>
  </si>
  <si>
    <t>C30</t>
  </si>
  <si>
    <t xml:space="preserve">Fabricated Metal Products </t>
  </si>
  <si>
    <t xml:space="preserve">C31 </t>
  </si>
  <si>
    <t xml:space="preserve">Machinery &amp; Equipment </t>
  </si>
  <si>
    <t xml:space="preserve">C32 </t>
  </si>
  <si>
    <t xml:space="preserve">Electrical Products </t>
  </si>
  <si>
    <t>C33</t>
  </si>
  <si>
    <t xml:space="preserve">Electronic Products </t>
  </si>
  <si>
    <t xml:space="preserve">C34 </t>
  </si>
  <si>
    <t xml:space="preserve">Medical &amp; Precision Instruments </t>
  </si>
  <si>
    <t>C35</t>
  </si>
  <si>
    <t xml:space="preserve">Transport Equipment </t>
  </si>
  <si>
    <t xml:space="preserve">F45 </t>
  </si>
  <si>
    <t xml:space="preserve">CONSTRUCTION </t>
  </si>
  <si>
    <t xml:space="preserve">G-V </t>
  </si>
  <si>
    <t xml:space="preserve">G50-51 </t>
  </si>
  <si>
    <t xml:space="preserve">G50 </t>
  </si>
  <si>
    <t xml:space="preserve">Wholesale Trade </t>
  </si>
  <si>
    <t xml:space="preserve">G51 </t>
  </si>
  <si>
    <t xml:space="preserve">Retail Trade </t>
  </si>
  <si>
    <t xml:space="preserve">H52-56  </t>
  </si>
  <si>
    <t>Transport &amp; Storage</t>
  </si>
  <si>
    <t xml:space="preserve">H52, H552 </t>
  </si>
  <si>
    <t xml:space="preserve">Land Transport &amp; Supporting Services </t>
  </si>
  <si>
    <t xml:space="preserve">H53, H553 </t>
  </si>
  <si>
    <t xml:space="preserve">Water Transport &amp; Supporting Services </t>
  </si>
  <si>
    <t xml:space="preserve">H54, H554 </t>
  </si>
  <si>
    <t xml:space="preserve">Air Transport &amp; Supporting Services </t>
  </si>
  <si>
    <t>Other Transport &amp; Storage Services</t>
  </si>
  <si>
    <t xml:space="preserve">J58 </t>
  </si>
  <si>
    <t>Hotels &amp; Restaurants</t>
  </si>
  <si>
    <t xml:space="preserve">J581 </t>
  </si>
  <si>
    <t xml:space="preserve">Hotels </t>
  </si>
  <si>
    <t xml:space="preserve">J582 </t>
  </si>
  <si>
    <t xml:space="preserve">Restaurants </t>
  </si>
  <si>
    <t>K60-63</t>
  </si>
  <si>
    <t>Information &amp; Communications</t>
  </si>
  <si>
    <t xml:space="preserve">K60-61 </t>
  </si>
  <si>
    <t xml:space="preserve">Broadcasting &amp; Publishing </t>
  </si>
  <si>
    <t xml:space="preserve">K62 </t>
  </si>
  <si>
    <t xml:space="preserve">Telecommunications </t>
  </si>
  <si>
    <t>K63</t>
  </si>
  <si>
    <t>IT &amp; Other Information Services</t>
  </si>
  <si>
    <t xml:space="preserve">L65-66 </t>
  </si>
  <si>
    <t xml:space="preserve">L65 </t>
  </si>
  <si>
    <t xml:space="preserve">Financial Institutions </t>
  </si>
  <si>
    <t xml:space="preserve">L66 </t>
  </si>
  <si>
    <t xml:space="preserve">Insurance </t>
  </si>
  <si>
    <t xml:space="preserve">M70-71 </t>
  </si>
  <si>
    <t>Real Estate &amp; Leasing Services</t>
  </si>
  <si>
    <t xml:space="preserve">N73-76  </t>
  </si>
  <si>
    <t>Professional Services</t>
  </si>
  <si>
    <t>N73</t>
  </si>
  <si>
    <t xml:space="preserve">Legal, Accounting &amp; Management Services </t>
  </si>
  <si>
    <t xml:space="preserve">N74 </t>
  </si>
  <si>
    <t xml:space="preserve">Architectural &amp; Engineering Services </t>
  </si>
  <si>
    <t xml:space="preserve">N75-76 </t>
  </si>
  <si>
    <t xml:space="preserve">Other Professional Services </t>
  </si>
  <si>
    <t xml:space="preserve">O78 </t>
  </si>
  <si>
    <t>Administrative &amp; Support Services</t>
  </si>
  <si>
    <t>P80-V99</t>
  </si>
  <si>
    <t>Community, Social &amp; Personal Services</t>
  </si>
  <si>
    <t>P80, T94</t>
  </si>
  <si>
    <t>Q85-86</t>
  </si>
  <si>
    <t>Health &amp; Social Services</t>
  </si>
  <si>
    <t>R, S, U, V</t>
  </si>
  <si>
    <t xml:space="preserve">Other Community, Social &amp; Personal Services </t>
  </si>
  <si>
    <t>A, B, D, E, W</t>
  </si>
  <si>
    <t>OTHERS*</t>
  </si>
  <si>
    <t xml:space="preserve"> </t>
  </si>
  <si>
    <t>Total (excl MDW)</t>
  </si>
  <si>
    <t>C10-32</t>
  </si>
  <si>
    <t xml:space="preserve">C19-21 </t>
  </si>
  <si>
    <t>C25,28</t>
  </si>
  <si>
    <t>C26</t>
  </si>
  <si>
    <t>C29-30</t>
  </si>
  <si>
    <t>H50, 5222, 5225</t>
  </si>
  <si>
    <t>H51, 5223</t>
  </si>
  <si>
    <t>I55-56</t>
  </si>
  <si>
    <t>I55</t>
  </si>
  <si>
    <t>Accommodation</t>
  </si>
  <si>
    <t>Food &amp; Beverage Services</t>
  </si>
  <si>
    <t>J58-63</t>
  </si>
  <si>
    <t>J58-61</t>
  </si>
  <si>
    <t>J62-63</t>
  </si>
  <si>
    <t xml:space="preserve">K64-66 </t>
  </si>
  <si>
    <t xml:space="preserve">Financial Services </t>
  </si>
  <si>
    <t>K65 &amp; 662</t>
  </si>
  <si>
    <t>Insurance Services</t>
  </si>
  <si>
    <t xml:space="preserve">M69-75  </t>
  </si>
  <si>
    <t xml:space="preserve">M69-70 </t>
  </si>
  <si>
    <t xml:space="preserve">M71 </t>
  </si>
  <si>
    <t>N77-82</t>
  </si>
  <si>
    <t>N80</t>
  </si>
  <si>
    <t>Security &amp; Investigation</t>
  </si>
  <si>
    <t>N81</t>
  </si>
  <si>
    <t>Cleaning &amp; Landscaping</t>
  </si>
  <si>
    <t>O84, P85</t>
  </si>
  <si>
    <t>Q86-88</t>
  </si>
  <si>
    <t>R90-93</t>
  </si>
  <si>
    <t>Arts, Entertainment &amp; Recreation</t>
  </si>
  <si>
    <t>S, T, U</t>
  </si>
  <si>
    <t xml:space="preserve">Notes: </t>
  </si>
  <si>
    <t>2. Data may not add up to the total due to rounding.</t>
  </si>
  <si>
    <t>3. The industries are classified based on SSIC 1996.</t>
  </si>
  <si>
    <t>4.  'excl MDW' refers to excluding migrant domestic workers.</t>
  </si>
  <si>
    <t>3. The industries are classified based on SSIC 2005.</t>
  </si>
  <si>
    <t>Dec 1990</t>
  </si>
  <si>
    <t>Dec 1991</t>
  </si>
  <si>
    <t>Dec 1992</t>
  </si>
  <si>
    <t>Dec 1993</t>
  </si>
  <si>
    <t>Dec 1994</t>
  </si>
  <si>
    <t>Dec 1995</t>
  </si>
  <si>
    <t>Dec 1996</t>
  </si>
  <si>
    <t>Dec 1997</t>
  </si>
  <si>
    <t>Dec 1999</t>
  </si>
  <si>
    <t>Dec 2000</t>
  </si>
  <si>
    <t>TOTAL (excl MDW)</t>
  </si>
  <si>
    <t>L3</t>
  </si>
  <si>
    <t>K3</t>
  </si>
  <si>
    <t>J3</t>
  </si>
  <si>
    <t>I3</t>
  </si>
  <si>
    <r>
      <rPr>
        <b/>
        <sz val="10"/>
        <color rgb="FFFF6600"/>
        <rFont val="Arial"/>
        <family val="2"/>
      </rPr>
      <t>For more information, please click on the link</t>
    </r>
    <r>
      <rPr>
        <sz val="10"/>
        <color theme="10"/>
        <rFont val="Arial"/>
        <family val="2"/>
      </rPr>
      <t xml:space="preserve"> here.</t>
    </r>
  </si>
  <si>
    <t>H3</t>
  </si>
  <si>
    <t>G3</t>
  </si>
  <si>
    <t xml:space="preserve"> job creation (i.e. the increase in employment in expanding establishments only).</t>
  </si>
  <si>
    <t>F3</t>
  </si>
  <si>
    <t>Conceptually, the change in employment over the reference period is the difference between people entering and exiting employment during the period. We should not mistake an increase in employment as gross</t>
  </si>
  <si>
    <t>E3</t>
  </si>
  <si>
    <t>D3</t>
  </si>
  <si>
    <t xml:space="preserve">the impact of cyclical and structural changes in the economy on the demand for workers. In particular, the breakdown of employment by industry helps identify sectors where employment is growing or falling.
</t>
  </si>
  <si>
    <t>C3</t>
  </si>
  <si>
    <t xml:space="preserve">The employment statistics compiled from the administrative records provide timely and reliable data for analysing quarterly employment change. Analysis of employment change over time helps in understanding </t>
  </si>
  <si>
    <t>SSIC2005</t>
  </si>
  <si>
    <t>Administrative Records:</t>
  </si>
  <si>
    <t>Uses and Limitations</t>
  </si>
  <si>
    <t>in employment.</t>
  </si>
  <si>
    <t>period compared with the end of the preceding period. A positive change refers to the additional number of persons who are in employment, while a negative change refers to the decline in number of persons</t>
  </si>
  <si>
    <t xml:space="preserve">Employment Change is the change in the number of persons who are in employment, derived by taking the difference in the employment level (i.e. number of employed persons) at the end of the reference </t>
  </si>
  <si>
    <t>M3</t>
  </si>
  <si>
    <t xml:space="preserve">Employment Level refers to the number of persons in employment, comprising employees and the self-employed.
</t>
  </si>
  <si>
    <t>Concepts and Definitions</t>
  </si>
  <si>
    <t>Link</t>
  </si>
  <si>
    <t>SSIC Edition</t>
  </si>
  <si>
    <t>Select Year Of Interest</t>
  </si>
  <si>
    <t>Cell Target</t>
  </si>
  <si>
    <t>Sheet target</t>
  </si>
  <si>
    <t>SSIC Display</t>
  </si>
  <si>
    <t>Contents</t>
  </si>
  <si>
    <t>Cell destination</t>
  </si>
  <si>
    <t>SSIC display2</t>
  </si>
  <si>
    <t>Sheet Name</t>
  </si>
  <si>
    <t xml:space="preserve">Year </t>
  </si>
  <si>
    <t>ANNUAL EMPLOYMENT LEVEL BY INDUSTRY</t>
  </si>
  <si>
    <t>SERVICES (excl MDW)</t>
  </si>
  <si>
    <t>EMPLOYMENT LEVEL BY INDUSTRY, 1990 - 2000</t>
  </si>
  <si>
    <t>Back to Contents</t>
  </si>
  <si>
    <t>Dec 1998*</t>
  </si>
  <si>
    <t>5. * Data prior to 1998 are not strictly comparable with data from 1998 onwards due to changes in industrial classification.</t>
  </si>
  <si>
    <t>EMPLOYMENT LEVEL BY INDUSTRY, 2001 - 2007</t>
  </si>
  <si>
    <t>SSIC1996</t>
  </si>
  <si>
    <t>N3</t>
  </si>
  <si>
    <t>O3</t>
  </si>
  <si>
    <t>P3</t>
  </si>
  <si>
    <t>SSIC 2020</t>
  </si>
  <si>
    <t>Total</t>
  </si>
  <si>
    <t>Manufacturing</t>
  </si>
  <si>
    <t>C10-12</t>
  </si>
  <si>
    <t xml:space="preserve">C17, 18, 22 </t>
  </si>
  <si>
    <t>Fabricated Metal Products, Machinery &amp; Equipment</t>
  </si>
  <si>
    <t>F41-43</t>
  </si>
  <si>
    <t>Construction</t>
  </si>
  <si>
    <t>Others</t>
  </si>
  <si>
    <t>G46-U99</t>
  </si>
  <si>
    <t>Services</t>
  </si>
  <si>
    <t>G46-47</t>
  </si>
  <si>
    <t>G46</t>
  </si>
  <si>
    <t>G47</t>
  </si>
  <si>
    <t>Transportation &amp; Storage</t>
  </si>
  <si>
    <t>H49, 5221</t>
  </si>
  <si>
    <t>Land Transport &amp; Supporting Services</t>
  </si>
  <si>
    <t>Water Transport &amp; Supporting Services</t>
  </si>
  <si>
    <t>Air Transport &amp; Supporting Services</t>
  </si>
  <si>
    <t>H521, 5224, 5229, 53</t>
  </si>
  <si>
    <t>Other Transportation &amp; Storage</t>
  </si>
  <si>
    <t>Accommodation &amp; Food Services</t>
  </si>
  <si>
    <t>I56</t>
  </si>
  <si>
    <t>Telecomunications, Broadcasting &amp; Publishing</t>
  </si>
  <si>
    <t>Financial &amp; Insurance Services</t>
  </si>
  <si>
    <t xml:space="preserve">K64 &amp; 66 (excl. 662) </t>
  </si>
  <si>
    <t>L68</t>
  </si>
  <si>
    <t xml:space="preserve">Real Estate Services </t>
  </si>
  <si>
    <t>Architectural &amp; Engineering Services</t>
  </si>
  <si>
    <t xml:space="preserve">M72-75 </t>
  </si>
  <si>
    <t>Other Professional Services</t>
  </si>
  <si>
    <t xml:space="preserve">Administrative &amp; Support Services </t>
  </si>
  <si>
    <t>Other Adminstrative &amp; Support Services</t>
  </si>
  <si>
    <t>O84-U99</t>
  </si>
  <si>
    <t>Paper / Rubber / Plastic Products &amp; Printing</t>
  </si>
  <si>
    <t>Electronic, Computer &amp; Optical Products</t>
  </si>
  <si>
    <t>Services (excl MDW)</t>
  </si>
  <si>
    <t>H49-53</t>
  </si>
  <si>
    <t xml:space="preserve">Professional Services </t>
  </si>
  <si>
    <t>4. 'excl MDW' refers to excluding migrant domestic workers.</t>
  </si>
  <si>
    <t>A, B, D, E</t>
  </si>
  <si>
    <t>3. The industries are classified based on SSIC 2020.</t>
  </si>
  <si>
    <t>O84</t>
  </si>
  <si>
    <t>Public Administration</t>
  </si>
  <si>
    <t>O85</t>
  </si>
  <si>
    <t>Education</t>
  </si>
  <si>
    <t>P80</t>
  </si>
  <si>
    <t>T94</t>
  </si>
  <si>
    <t>L75</t>
  </si>
  <si>
    <t>M80</t>
  </si>
  <si>
    <t>n.a.</t>
  </si>
  <si>
    <t>n.a.: Not available</t>
  </si>
  <si>
    <t>SSIC2020</t>
  </si>
  <si>
    <t>Q3</t>
  </si>
  <si>
    <t>R3</t>
  </si>
  <si>
    <t>S3</t>
  </si>
  <si>
    <t>EMPLOYMENT LEVEL BY INDUSTRY, 2008 - 2025</t>
  </si>
  <si>
    <t>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</si>
</sst>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yy_)"/>
    <numFmt numFmtId="165" formatCode="General_)"/>
    <numFmt numFmtId="166" formatCode="#,##0.0"/>
    <numFmt numFmtId="167" formatCode="mmm\ \ yy"/>
  </numFmts>
  <fonts count="32" x14ac:knownFonts="1">
    <font>
      <sz val="10"/>
      <name val="Arial"/>
      <family val="2"/>
    </font>
    <font>
      <sz val="10"/>
      <name val="Helv"/>
    </font>
    <font>
      <b/>
      <sz val="12"/>
      <name val="Calibri"/>
      <family val="2"/>
      <scheme val="minor"/>
    </font>
    <font>
      <sz val="9"/>
      <name val="Calibri"/>
      <family val="2"/>
      <scheme val="minor"/>
    </font>
    <font>
      <sz val="10"/>
      <name val="Arial"/>
      <family val="2"/>
    </font>
    <font>
      <sz val="9"/>
      <name val="Helv"/>
    </font>
    <font>
      <u/>
      <sz val="10"/>
      <color theme="10"/>
      <name val="Arial"/>
      <family val="2"/>
    </font>
    <font>
      <sz val="10"/>
      <name val="Calibri"/>
      <family val="2"/>
      <scheme val="minor"/>
    </font>
    <font>
      <b/>
      <sz val="9"/>
      <name val="Calibri"/>
      <family val="2"/>
      <scheme val="minor"/>
    </font>
    <font>
      <i/>
      <sz val="9"/>
      <name val="Calibri"/>
      <family val="2"/>
      <scheme val="minor"/>
    </font>
    <font>
      <sz val="8"/>
      <name val="Arial"/>
      <family val="2"/>
    </font>
    <font>
      <sz val="10"/>
      <color theme="1"/>
      <name val="Arial"/>
      <family val="2"/>
    </font>
    <font>
      <sz val="10"/>
      <name val="Arial"/>
      <family val="2"/>
    </font>
    <font>
      <sz val="10"/>
      <color theme="10"/>
      <name val="Arial"/>
      <family val="2"/>
    </font>
    <font>
      <b/>
      <sz val="10"/>
      <color rgb="FFFF6600"/>
      <name val="Arial"/>
      <family val="2"/>
    </font>
    <font>
      <sz val="8.1"/>
      <color rgb="FF222222"/>
      <name val="Arial"/>
      <family val="2"/>
    </font>
    <font>
      <b/>
      <sz val="8"/>
      <color rgb="FF222222"/>
      <name val="Arial"/>
      <family val="2"/>
    </font>
    <font>
      <sz val="8"/>
      <color rgb="FF222222"/>
      <name val="Arial"/>
      <family val="2"/>
    </font>
    <font>
      <sz val="10"/>
      <color rgb="FFFF0000"/>
      <name val="Arial"/>
      <family val="2"/>
    </font>
    <font>
      <b/>
      <sz val="10"/>
      <name val="Arial"/>
      <family val="2"/>
    </font>
    <font>
      <sz val="10"/>
      <color theme="0"/>
      <name val="Arial"/>
      <family val="2"/>
    </font>
    <font>
      <b/>
      <u/>
      <sz val="10"/>
      <color theme="0"/>
      <name val="Arial"/>
      <family val="2"/>
    </font>
    <font>
      <b/>
      <sz val="12"/>
      <name val="Arial"/>
      <family val="2"/>
    </font>
    <font>
      <b/>
      <sz val="14"/>
      <color theme="4" tint="-0.249977111117893"/>
      <name val="Arial"/>
      <family val="2"/>
    </font>
    <font>
      <b/>
      <u/>
      <sz val="10"/>
      <name val="Arial"/>
      <family val="2"/>
    </font>
    <font>
      <b/>
      <sz val="14"/>
      <color rgb="FF00CC99"/>
      <name val="Arial"/>
      <family val="2"/>
    </font>
    <font>
      <b/>
      <sz val="10"/>
      <color theme="0"/>
      <name val="Arial"/>
      <family val="2"/>
    </font>
    <font>
      <u/>
      <sz val="9"/>
      <color theme="10"/>
      <name val="Arial"/>
      <family val="2"/>
    </font>
    <font>
      <b/>
      <sz val="10"/>
      <name val="Calibri"/>
      <family val="2"/>
      <scheme val="minor"/>
    </font>
    <font>
      <b/>
      <i/>
      <sz val="10"/>
      <name val="Calibri"/>
      <family val="2"/>
      <scheme val="minor"/>
    </font>
    <font>
      <u/>
      <sz val="9"/>
      <name val="Calibri"/>
      <family val="2"/>
      <scheme val="minor"/>
    </font>
    <font>
      <sz val="11"/>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00CC99"/>
        <bgColor indexed="64"/>
      </patternFill>
    </fill>
    <fill>
      <patternFill patternType="solid">
        <fgColor rgb="FF00B0F0"/>
        <bgColor indexed="64"/>
      </patternFill>
    </fill>
    <fill>
      <patternFill patternType="solid">
        <fgColor rgb="FFFFC000"/>
        <bgColor indexed="64"/>
      </patternFill>
    </fill>
    <fill>
      <patternFill patternType="solid">
        <fgColor theme="0"/>
        <bgColor indexed="64"/>
      </patternFill>
    </fill>
    <fill>
      <patternFill patternType="solid">
        <fgColor rgb="FF92D050"/>
        <bgColor indexed="64"/>
      </patternFill>
    </fill>
  </fills>
  <borders count="26">
    <border>
      <left/>
      <right/>
      <top/>
      <bottom/>
      <diagonal/>
    </border>
    <border>
      <left style="thin">
        <color indexed="8"/>
      </left>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8"/>
      </right>
      <top/>
      <bottom/>
      <diagonal/>
    </border>
    <border>
      <left style="thin">
        <color indexed="64"/>
      </left>
      <right/>
      <top style="thin">
        <color indexed="64"/>
      </top>
      <bottom/>
      <diagonal/>
    </border>
    <border>
      <left/>
      <right style="thin">
        <color indexed="8"/>
      </right>
      <top/>
      <bottom/>
      <diagonal/>
    </border>
    <border>
      <left style="thin">
        <color indexed="8"/>
      </left>
      <right style="thin">
        <color indexed="8"/>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8"/>
      </right>
      <top/>
      <bottom style="thin">
        <color indexed="64"/>
      </bottom>
      <diagonal/>
    </border>
    <border>
      <left style="thin">
        <color indexed="8"/>
      </left>
      <right style="thin">
        <color indexed="8"/>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auto="1"/>
      </bottom>
      <diagonal/>
    </border>
    <border>
      <left style="thin">
        <color indexed="8"/>
      </left>
      <right style="thin">
        <color indexed="8"/>
      </right>
      <top style="thin">
        <color indexed="8"/>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ck">
        <color theme="0"/>
      </bottom>
      <diagonal/>
    </border>
    <border>
      <left/>
      <right/>
      <top style="thin">
        <color indexed="64"/>
      </top>
      <bottom/>
      <diagonal/>
    </border>
    <border>
      <left/>
      <right/>
      <top/>
      <bottom style="thin">
        <color indexed="64"/>
      </bottom>
      <diagonal/>
    </border>
    <border>
      <left style="thin">
        <color indexed="8"/>
      </left>
      <right/>
      <top/>
      <bottom/>
      <diagonal/>
    </border>
  </borders>
  <cellStyleXfs count="8">
    <xf numFmtId="0" fontId="0" fillId="0" borderId="0"/>
    <xf numFmtId="0" fontId="6" fillId="0" borderId="0" applyNumberFormat="0" applyFill="0" applyBorder="0" applyAlignment="0" applyProtection="0">
      <alignment vertical="top"/>
      <protection locked="0"/>
    </xf>
    <xf numFmtId="164" fontId="1" fillId="0" borderId="0"/>
    <xf numFmtId="165" fontId="5" fillId="0" borderId="0"/>
    <xf numFmtId="167" fontId="1" fillId="0" borderId="0"/>
    <xf numFmtId="0" fontId="4" fillId="0" borderId="0"/>
    <xf numFmtId="0" fontId="12" fillId="0" borderId="0"/>
    <xf numFmtId="0" fontId="4" fillId="0" borderId="0"/>
  </cellStyleXfs>
  <cellXfs count="165">
    <xf numFmtId="0" fontId="0" fillId="0" borderId="0" xfId="0"/>
    <xf numFmtId="37" fontId="3" fillId="0" borderId="0" xfId="2" applyNumberFormat="1" applyFont="1" applyAlignment="1">
      <alignment horizontal="left" vertical="center"/>
    </xf>
    <xf numFmtId="0" fontId="3" fillId="0" borderId="0" xfId="0" applyFont="1" applyAlignment="1">
      <alignment vertical="center"/>
    </xf>
    <xf numFmtId="0" fontId="8" fillId="0" borderId="0" xfId="0" applyFont="1" applyAlignment="1">
      <alignment vertical="center"/>
    </xf>
    <xf numFmtId="0" fontId="3" fillId="0" borderId="0" xfId="0" applyFont="1" applyAlignment="1">
      <alignment horizontal="center" vertical="center"/>
    </xf>
    <xf numFmtId="166" fontId="8" fillId="0" borderId="0" xfId="0" quotePrefix="1" applyNumberFormat="1" applyFont="1" applyAlignment="1">
      <alignment horizontal="right" vertical="center" indent="1"/>
    </xf>
    <xf numFmtId="166" fontId="3" fillId="0" borderId="0" xfId="0" quotePrefix="1" applyNumberFormat="1" applyFont="1" applyAlignment="1">
      <alignment horizontal="right" vertical="center" indent="1"/>
    </xf>
    <xf numFmtId="166" fontId="3" fillId="0" borderId="0" xfId="0" applyNumberFormat="1" applyFont="1" applyAlignment="1">
      <alignment horizontal="right" vertical="center" indent="1"/>
    </xf>
    <xf numFmtId="0" fontId="3" fillId="0" borderId="0" xfId="0" applyFont="1" applyAlignment="1">
      <alignment wrapText="1"/>
    </xf>
    <xf numFmtId="0" fontId="3" fillId="0" borderId="0" xfId="0" applyFont="1" applyAlignment="1">
      <alignment vertical="center" wrapText="1"/>
    </xf>
    <xf numFmtId="166" fontId="3" fillId="0" borderId="0" xfId="0" applyNumberFormat="1" applyFont="1" applyAlignment="1">
      <alignment horizontal="left" vertical="center"/>
    </xf>
    <xf numFmtId="0" fontId="9" fillId="0" borderId="0" xfId="0" applyFont="1" applyAlignment="1">
      <alignment horizontal="left" vertical="center"/>
    </xf>
    <xf numFmtId="0" fontId="12" fillId="0" borderId="0" xfId="6"/>
    <xf numFmtId="0" fontId="12" fillId="0" borderId="0" xfId="6" applyAlignment="1">
      <alignment horizontal="center"/>
    </xf>
    <xf numFmtId="0" fontId="12" fillId="0" borderId="0" xfId="6" applyAlignment="1">
      <alignment horizontal="center" vertical="center"/>
    </xf>
    <xf numFmtId="0" fontId="4" fillId="0" borderId="0" xfId="6" applyFont="1" applyAlignment="1">
      <alignment horizontal="center" vertical="center"/>
    </xf>
    <xf numFmtId="0" fontId="6" fillId="0" borderId="0" xfId="1" applyAlignment="1" applyProtection="1"/>
    <xf numFmtId="0" fontId="12" fillId="2" borderId="0" xfId="6" applyFill="1" applyAlignment="1">
      <alignment horizontal="center" vertical="center"/>
    </xf>
    <xf numFmtId="0" fontId="10" fillId="0" borderId="0" xfId="6" applyFont="1"/>
    <xf numFmtId="0" fontId="4" fillId="2" borderId="0" xfId="6" applyFont="1" applyFill="1" applyAlignment="1">
      <alignment horizontal="center" vertical="center"/>
    </xf>
    <xf numFmtId="0" fontId="11" fillId="2" borderId="21" xfId="6" applyFont="1" applyFill="1" applyBorder="1" applyAlignment="1">
      <alignment horizontal="center" vertical="center"/>
    </xf>
    <xf numFmtId="0" fontId="12" fillId="3" borderId="0" xfId="6" applyFill="1"/>
    <xf numFmtId="0" fontId="12" fillId="3" borderId="0" xfId="6" applyFill="1" applyAlignment="1">
      <alignment horizontal="center"/>
    </xf>
    <xf numFmtId="0" fontId="6" fillId="0" borderId="0" xfId="1" applyFill="1" applyBorder="1" applyAlignment="1" applyProtection="1"/>
    <xf numFmtId="0" fontId="6" fillId="0" borderId="0" xfId="1" applyFill="1" applyAlignment="1" applyProtection="1">
      <alignment horizontal="center" vertical="center"/>
    </xf>
    <xf numFmtId="0" fontId="10" fillId="0" borderId="0" xfId="6" applyFont="1" applyAlignment="1">
      <alignment horizontal="left" vertical="center"/>
    </xf>
    <xf numFmtId="0" fontId="15" fillId="0" borderId="0" xfId="6" applyFont="1"/>
    <xf numFmtId="0" fontId="4" fillId="4" borderId="0" xfId="6" applyFont="1" applyFill="1" applyAlignment="1">
      <alignment horizontal="center" vertical="center"/>
    </xf>
    <xf numFmtId="0" fontId="12" fillId="4" borderId="0" xfId="6" applyFill="1" applyAlignment="1">
      <alignment horizontal="center" vertical="center"/>
    </xf>
    <xf numFmtId="0" fontId="11" fillId="4" borderId="21" xfId="6" applyFont="1" applyFill="1" applyBorder="1" applyAlignment="1">
      <alignment horizontal="center" vertical="center"/>
    </xf>
    <xf numFmtId="0" fontId="16" fillId="0" borderId="0" xfId="6" applyFont="1"/>
    <xf numFmtId="0" fontId="14" fillId="0" borderId="0" xfId="6" applyFont="1"/>
    <xf numFmtId="0" fontId="4" fillId="0" borderId="0" xfId="6" applyFont="1"/>
    <xf numFmtId="0" fontId="17" fillId="0" borderId="0" xfId="6" applyFont="1"/>
    <xf numFmtId="0" fontId="4" fillId="0" borderId="0" xfId="6" applyFont="1" applyAlignment="1">
      <alignment vertical="center"/>
    </xf>
    <xf numFmtId="0" fontId="18" fillId="0" borderId="0" xfId="6" applyFont="1" applyAlignment="1">
      <alignment horizontal="center" vertical="center"/>
    </xf>
    <xf numFmtId="0" fontId="12" fillId="0" borderId="0" xfId="6" applyAlignment="1" applyProtection="1">
      <alignment horizontal="center" vertical="center"/>
      <protection locked="0"/>
    </xf>
    <xf numFmtId="0" fontId="4" fillId="0" borderId="0" xfId="1" applyFont="1" applyFill="1" applyAlignment="1" applyProtection="1">
      <alignment horizontal="center" vertical="center"/>
      <protection locked="0"/>
    </xf>
    <xf numFmtId="0" fontId="12" fillId="5" borderId="0" xfId="6" applyFill="1"/>
    <xf numFmtId="0" fontId="6" fillId="5" borderId="0" xfId="1" applyFill="1" applyAlignment="1" applyProtection="1">
      <alignment horizontal="center" vertical="center"/>
    </xf>
    <xf numFmtId="0" fontId="12" fillId="5" borderId="0" xfId="6" applyFill="1" applyAlignment="1">
      <alignment horizontal="center" vertical="center"/>
    </xf>
    <xf numFmtId="0" fontId="4" fillId="5" borderId="0" xfId="6" applyFont="1" applyFill="1" applyAlignment="1">
      <alignment horizontal="center" vertical="center"/>
    </xf>
    <xf numFmtId="0" fontId="4" fillId="5" borderId="0" xfId="1" applyFont="1" applyFill="1" applyAlignment="1" applyProtection="1">
      <alignment horizontal="center" vertical="center"/>
      <protection locked="0"/>
    </xf>
    <xf numFmtId="0" fontId="4" fillId="5" borderId="0" xfId="6" applyFont="1" applyFill="1" applyAlignment="1" applyProtection="1">
      <alignment horizontal="center" vertical="center"/>
      <protection locked="0"/>
    </xf>
    <xf numFmtId="0" fontId="19" fillId="0" borderId="0" xfId="6" applyFont="1"/>
    <xf numFmtId="0" fontId="20" fillId="6" borderId="0" xfId="6" applyFont="1" applyFill="1"/>
    <xf numFmtId="0" fontId="21" fillId="6" borderId="0" xfId="6" applyFont="1" applyFill="1" applyAlignment="1">
      <alignment horizontal="center" vertical="center"/>
    </xf>
    <xf numFmtId="0" fontId="20" fillId="6" borderId="0" xfId="6" applyFont="1" applyFill="1" applyAlignment="1">
      <alignment horizontal="center" vertical="center"/>
    </xf>
    <xf numFmtId="0" fontId="22" fillId="0" borderId="0" xfId="6" applyFont="1" applyAlignment="1">
      <alignment horizontal="left"/>
    </xf>
    <xf numFmtId="0" fontId="12" fillId="7" borderId="0" xfId="6" applyFill="1" applyAlignment="1">
      <alignment horizontal="center"/>
    </xf>
    <xf numFmtId="0" fontId="12" fillId="7" borderId="0" xfId="6" applyFill="1" applyAlignment="1">
      <alignment horizontal="center" vertical="center"/>
    </xf>
    <xf numFmtId="0" fontId="19" fillId="8" borderId="0" xfId="6" applyFont="1" applyFill="1" applyAlignment="1">
      <alignment horizontal="center" vertical="center"/>
    </xf>
    <xf numFmtId="0" fontId="12" fillId="9" borderId="0" xfId="6" applyFill="1"/>
    <xf numFmtId="0" fontId="12" fillId="9" borderId="0" xfId="6" applyFill="1" applyAlignment="1">
      <alignment horizontal="center"/>
    </xf>
    <xf numFmtId="0" fontId="23" fillId="9" borderId="0" xfId="6" applyFont="1" applyFill="1"/>
    <xf numFmtId="0" fontId="24" fillId="7" borderId="0" xfId="6" applyFont="1" applyFill="1" applyAlignment="1">
      <alignment horizontal="center" vertical="center"/>
    </xf>
    <xf numFmtId="0" fontId="23" fillId="3" borderId="0" xfId="6" applyFont="1" applyFill="1"/>
    <xf numFmtId="0" fontId="25" fillId="0" borderId="0" xfId="6" applyFont="1"/>
    <xf numFmtId="0" fontId="4" fillId="10" borderId="15" xfId="6" applyFont="1" applyFill="1" applyBorder="1" applyAlignment="1">
      <alignment vertical="center"/>
    </xf>
    <xf numFmtId="0" fontId="26" fillId="10" borderId="22" xfId="6" applyFont="1" applyFill="1" applyBorder="1" applyAlignment="1">
      <alignment vertical="center"/>
    </xf>
    <xf numFmtId="0" fontId="12" fillId="10" borderId="15" xfId="6" applyFill="1" applyBorder="1" applyAlignment="1">
      <alignment vertical="center"/>
    </xf>
    <xf numFmtId="37" fontId="27" fillId="0" borderId="0" xfId="1" applyNumberFormat="1" applyFont="1" applyAlignment="1" applyProtection="1">
      <alignment horizontal="left" vertical="center"/>
    </xf>
    <xf numFmtId="0" fontId="3" fillId="0" borderId="0" xfId="0" applyFont="1" applyAlignment="1">
      <alignment horizontal="right" vertical="center"/>
    </xf>
    <xf numFmtId="0" fontId="3" fillId="0" borderId="0" xfId="0" quotePrefix="1" applyFont="1" applyAlignment="1">
      <alignment vertical="center"/>
    </xf>
    <xf numFmtId="165" fontId="3" fillId="0" borderId="0" xfId="3" applyFont="1" applyAlignment="1">
      <alignment horizontal="left" vertical="center" wrapText="1"/>
    </xf>
    <xf numFmtId="166" fontId="3" fillId="0" borderId="0" xfId="2" applyNumberFormat="1" applyFont="1" applyAlignment="1" applyProtection="1">
      <alignment horizontal="right" vertical="center" indent="1"/>
      <protection locked="0" hidden="1"/>
    </xf>
    <xf numFmtId="0" fontId="6" fillId="0" borderId="0" xfId="1" applyAlignment="1" applyProtection="1">
      <alignment vertical="center"/>
    </xf>
    <xf numFmtId="49" fontId="7" fillId="0" borderId="20" xfId="2" applyNumberFormat="1" applyFont="1" applyBorder="1" applyAlignment="1">
      <alignment horizontal="center" vertical="center"/>
    </xf>
    <xf numFmtId="49" fontId="7" fillId="0" borderId="1" xfId="2" applyNumberFormat="1" applyFont="1" applyBorder="1" applyAlignment="1">
      <alignment horizontal="center" vertical="center"/>
    </xf>
    <xf numFmtId="37" fontId="28" fillId="0" borderId="4" xfId="2" applyNumberFormat="1" applyFont="1" applyBorder="1" applyAlignment="1">
      <alignment horizontal="left" vertical="top"/>
    </xf>
    <xf numFmtId="166" fontId="28" fillId="0" borderId="5" xfId="2" applyNumberFormat="1" applyFont="1" applyBorder="1" applyAlignment="1" applyProtection="1">
      <alignment horizontal="right" vertical="top" indent="1"/>
      <protection locked="0" hidden="1"/>
    </xf>
    <xf numFmtId="166" fontId="28" fillId="0" borderId="8" xfId="2" applyNumberFormat="1" applyFont="1" applyBorder="1" applyAlignment="1" applyProtection="1">
      <alignment horizontal="right" vertical="top" indent="1"/>
      <protection locked="0" hidden="1"/>
    </xf>
    <xf numFmtId="166" fontId="28" fillId="0" borderId="9" xfId="2" applyNumberFormat="1" applyFont="1" applyBorder="1" applyAlignment="1" applyProtection="1">
      <alignment horizontal="right" vertical="top" indent="1"/>
      <protection locked="0" hidden="1"/>
    </xf>
    <xf numFmtId="165" fontId="29" fillId="0" borderId="7" xfId="3" applyFont="1" applyBorder="1" applyAlignment="1">
      <alignment horizontal="left" vertical="center" wrapText="1"/>
    </xf>
    <xf numFmtId="166" fontId="29" fillId="0" borderId="5" xfId="2" applyNumberFormat="1" applyFont="1" applyBorder="1" applyAlignment="1" applyProtection="1">
      <alignment horizontal="right" vertical="top" indent="1"/>
      <protection locked="0" hidden="1"/>
    </xf>
    <xf numFmtId="166" fontId="29" fillId="0" borderId="8" xfId="2" applyNumberFormat="1" applyFont="1" applyBorder="1" applyAlignment="1" applyProtection="1">
      <alignment horizontal="right" vertical="top" indent="1"/>
      <protection locked="0" hidden="1"/>
    </xf>
    <xf numFmtId="166" fontId="29" fillId="0" borderId="9" xfId="2" applyNumberFormat="1" applyFont="1" applyBorder="1" applyAlignment="1" applyProtection="1">
      <alignment horizontal="right" vertical="top" indent="1"/>
      <protection locked="0" hidden="1"/>
    </xf>
    <xf numFmtId="164" fontId="7" fillId="0" borderId="4" xfId="2" applyFont="1" applyBorder="1" applyAlignment="1">
      <alignment vertical="top" wrapText="1"/>
    </xf>
    <xf numFmtId="37" fontId="7" fillId="0" borderId="4" xfId="2" applyNumberFormat="1" applyFont="1" applyBorder="1" applyAlignment="1">
      <alignment horizontal="left" vertical="top" wrapText="1"/>
    </xf>
    <xf numFmtId="166" fontId="7" fillId="0" borderId="5" xfId="2" applyNumberFormat="1" applyFont="1" applyBorder="1" applyAlignment="1" applyProtection="1">
      <alignment horizontal="right" vertical="top" indent="1"/>
      <protection locked="0" hidden="1"/>
    </xf>
    <xf numFmtId="166" fontId="7" fillId="0" borderId="8" xfId="2" applyNumberFormat="1" applyFont="1" applyBorder="1" applyAlignment="1" applyProtection="1">
      <alignment horizontal="right" vertical="top" indent="1"/>
      <protection locked="0" hidden="1"/>
    </xf>
    <xf numFmtId="166" fontId="7" fillId="0" borderId="9" xfId="2" applyNumberFormat="1" applyFont="1" applyBorder="1" applyAlignment="1" applyProtection="1">
      <alignment horizontal="right" vertical="top" indent="1"/>
      <protection locked="0" hidden="1"/>
    </xf>
    <xf numFmtId="165" fontId="7" fillId="0" borderId="4" xfId="3" applyFont="1" applyBorder="1" applyAlignment="1">
      <alignment vertical="top" wrapText="1"/>
    </xf>
    <xf numFmtId="165" fontId="7" fillId="0" borderId="4" xfId="3" applyFont="1" applyBorder="1" applyAlignment="1">
      <alignment horizontal="left" vertical="top" wrapText="1"/>
    </xf>
    <xf numFmtId="37" fontId="28" fillId="0" borderId="10" xfId="2" applyNumberFormat="1" applyFont="1" applyBorder="1" applyAlignment="1">
      <alignment horizontal="left" vertical="top"/>
    </xf>
    <xf numFmtId="166" fontId="28" fillId="0" borderId="11" xfId="2" applyNumberFormat="1" applyFont="1" applyBorder="1" applyAlignment="1" applyProtection="1">
      <alignment horizontal="right" vertical="top" indent="1"/>
      <protection locked="0" hidden="1"/>
    </xf>
    <xf numFmtId="166" fontId="28" fillId="0" borderId="12" xfId="2" applyNumberFormat="1" applyFont="1" applyBorder="1" applyAlignment="1" applyProtection="1">
      <alignment horizontal="right" vertical="top" indent="1"/>
      <protection locked="0" hidden="1"/>
    </xf>
    <xf numFmtId="166" fontId="28" fillId="0" borderId="13" xfId="2" applyNumberFormat="1" applyFont="1" applyBorder="1" applyAlignment="1" applyProtection="1">
      <alignment horizontal="right" vertical="top" indent="1"/>
      <protection locked="0" hidden="1"/>
    </xf>
    <xf numFmtId="0" fontId="30" fillId="0" borderId="0" xfId="0" applyFont="1" applyAlignment="1">
      <alignment vertical="center"/>
    </xf>
    <xf numFmtId="165" fontId="3" fillId="0" borderId="0" xfId="3" applyFont="1" applyAlignment="1">
      <alignment vertical="top"/>
    </xf>
    <xf numFmtId="0" fontId="3" fillId="0" borderId="0" xfId="0" applyFont="1" applyAlignment="1">
      <alignment horizontal="right"/>
    </xf>
    <xf numFmtId="37" fontId="3" fillId="0" borderId="0" xfId="4" applyNumberFormat="1" applyFont="1" applyAlignment="1">
      <alignment horizontal="right"/>
    </xf>
    <xf numFmtId="0" fontId="6" fillId="0" borderId="0" xfId="1" applyAlignment="1" applyProtection="1">
      <alignment horizontal="left" vertical="center"/>
    </xf>
    <xf numFmtId="17" fontId="7" fillId="0" borderId="2" xfId="0" applyNumberFormat="1" applyFont="1" applyBorder="1" applyAlignment="1">
      <alignment horizontal="center" vertical="center"/>
    </xf>
    <xf numFmtId="17" fontId="7" fillId="0" borderId="3" xfId="0" applyNumberFormat="1" applyFont="1" applyBorder="1" applyAlignment="1">
      <alignment horizontal="center" vertical="center"/>
    </xf>
    <xf numFmtId="165" fontId="28" fillId="0" borderId="14" xfId="3" applyFont="1" applyBorder="1" applyAlignment="1">
      <alignment vertical="top" wrapText="1"/>
    </xf>
    <xf numFmtId="166" fontId="28" fillId="0" borderId="6" xfId="0" applyNumberFormat="1" applyFont="1" applyBorder="1" applyAlignment="1">
      <alignment horizontal="right" vertical="top" indent="1"/>
    </xf>
    <xf numFmtId="166" fontId="28" fillId="0" borderId="16" xfId="0" applyNumberFormat="1" applyFont="1" applyBorder="1" applyAlignment="1">
      <alignment horizontal="right" vertical="top" indent="1"/>
    </xf>
    <xf numFmtId="165" fontId="29" fillId="0" borderId="4" xfId="3" applyFont="1" applyBorder="1" applyAlignment="1">
      <alignment horizontal="left" vertical="center" wrapText="1"/>
    </xf>
    <xf numFmtId="166" fontId="29" fillId="0" borderId="9" xfId="0" applyNumberFormat="1" applyFont="1" applyBorder="1" applyAlignment="1">
      <alignment horizontal="right" vertical="top" indent="1"/>
    </xf>
    <xf numFmtId="166" fontId="29" fillId="0" borderId="15" xfId="0" applyNumberFormat="1" applyFont="1" applyBorder="1" applyAlignment="1">
      <alignment horizontal="right" vertical="top" indent="1"/>
    </xf>
    <xf numFmtId="165" fontId="28" fillId="0" borderId="4" xfId="3" applyFont="1" applyBorder="1" applyAlignment="1">
      <alignment vertical="top" wrapText="1"/>
    </xf>
    <xf numFmtId="166" fontId="28" fillId="0" borderId="9" xfId="0" applyNumberFormat="1" applyFont="1" applyBorder="1" applyAlignment="1">
      <alignment horizontal="right" vertical="top" indent="1"/>
    </xf>
    <xf numFmtId="166" fontId="28" fillId="0" borderId="15" xfId="0" applyNumberFormat="1" applyFont="1" applyBorder="1" applyAlignment="1">
      <alignment horizontal="right" vertical="top" indent="1"/>
    </xf>
    <xf numFmtId="166" fontId="7" fillId="0" borderId="9" xfId="0" applyNumberFormat="1" applyFont="1" applyBorder="1" applyAlignment="1">
      <alignment horizontal="right" vertical="top" indent="1"/>
    </xf>
    <xf numFmtId="166" fontId="7" fillId="0" borderId="15" xfId="0" applyNumberFormat="1" applyFont="1" applyBorder="1" applyAlignment="1">
      <alignment horizontal="right" vertical="top" indent="1"/>
    </xf>
    <xf numFmtId="0" fontId="7" fillId="0" borderId="4" xfId="0" applyFont="1" applyBorder="1" applyAlignment="1">
      <alignment vertical="top" wrapText="1"/>
    </xf>
    <xf numFmtId="0" fontId="7" fillId="0" borderId="4" xfId="3" applyNumberFormat="1" applyFont="1" applyBorder="1" applyAlignment="1">
      <alignment vertical="top" wrapText="1"/>
    </xf>
    <xf numFmtId="0" fontId="28" fillId="0" borderId="10" xfId="3" applyNumberFormat="1" applyFont="1" applyBorder="1" applyAlignment="1">
      <alignment vertical="top" wrapText="1"/>
    </xf>
    <xf numFmtId="166" fontId="28" fillId="0" borderId="13" xfId="0" applyNumberFormat="1" applyFont="1" applyBorder="1" applyAlignment="1">
      <alignment horizontal="right" vertical="top" indent="1"/>
    </xf>
    <xf numFmtId="166" fontId="28" fillId="0" borderId="17" xfId="0" applyNumberFormat="1" applyFont="1" applyBorder="1" applyAlignment="1">
      <alignment horizontal="right" vertical="top" indent="1"/>
    </xf>
    <xf numFmtId="0" fontId="28" fillId="0" borderId="4" xfId="0" applyFont="1" applyBorder="1" applyAlignment="1">
      <alignment horizontal="left" vertical="top" wrapText="1"/>
    </xf>
    <xf numFmtId="0" fontId="28" fillId="0" borderId="4" xfId="0" applyFont="1" applyBorder="1" applyAlignment="1">
      <alignment vertical="top" wrapText="1"/>
    </xf>
    <xf numFmtId="166" fontId="28" fillId="0" borderId="15" xfId="0" quotePrefix="1" applyNumberFormat="1" applyFont="1" applyBorder="1" applyAlignment="1">
      <alignment horizontal="right" vertical="top" indent="1"/>
    </xf>
    <xf numFmtId="166" fontId="28" fillId="0" borderId="9" xfId="0" quotePrefix="1" applyNumberFormat="1" applyFont="1" applyBorder="1" applyAlignment="1">
      <alignment horizontal="right" vertical="top" indent="1"/>
    </xf>
    <xf numFmtId="166" fontId="29" fillId="0" borderId="15" xfId="0" quotePrefix="1" applyNumberFormat="1" applyFont="1" applyBorder="1" applyAlignment="1">
      <alignment horizontal="right" vertical="top" indent="1"/>
    </xf>
    <xf numFmtId="166" fontId="29" fillId="0" borderId="9" xfId="0" quotePrefix="1" applyNumberFormat="1" applyFont="1" applyBorder="1" applyAlignment="1">
      <alignment horizontal="right" vertical="top" indent="1"/>
    </xf>
    <xf numFmtId="0" fontId="7" fillId="0" borderId="4" xfId="0" applyFont="1" applyBorder="1" applyAlignment="1">
      <alignment horizontal="left" vertical="top" wrapText="1"/>
    </xf>
    <xf numFmtId="166" fontId="7" fillId="0" borderId="15" xfId="0" quotePrefix="1" applyNumberFormat="1" applyFont="1" applyBorder="1" applyAlignment="1">
      <alignment horizontal="right" vertical="top" indent="1"/>
    </xf>
    <xf numFmtId="166" fontId="7" fillId="0" borderId="9" xfId="0" quotePrefix="1" applyNumberFormat="1" applyFont="1" applyBorder="1" applyAlignment="1">
      <alignment horizontal="right" vertical="top" indent="1"/>
    </xf>
    <xf numFmtId="0" fontId="28" fillId="0" borderId="10" xfId="0" applyFont="1" applyBorder="1" applyAlignment="1">
      <alignment vertical="top" wrapText="1"/>
    </xf>
    <xf numFmtId="166" fontId="28" fillId="0" borderId="17" xfId="0" quotePrefix="1" applyNumberFormat="1" applyFont="1" applyBorder="1" applyAlignment="1">
      <alignment horizontal="right" vertical="top" indent="1"/>
    </xf>
    <xf numFmtId="166" fontId="28" fillId="0" borderId="13" xfId="0" quotePrefix="1" applyNumberFormat="1" applyFont="1" applyBorder="1" applyAlignment="1">
      <alignment horizontal="right" vertical="top" indent="1"/>
    </xf>
    <xf numFmtId="37" fontId="7" fillId="0" borderId="19" xfId="2" applyNumberFormat="1" applyFont="1" applyBorder="1" applyAlignment="1">
      <alignment horizontal="center" vertical="center"/>
    </xf>
    <xf numFmtId="37" fontId="7" fillId="0" borderId="19" xfId="2" applyNumberFormat="1" applyFont="1" applyBorder="1" applyAlignment="1">
      <alignment vertical="center"/>
    </xf>
    <xf numFmtId="165" fontId="7" fillId="0" borderId="23" xfId="3" applyFont="1" applyBorder="1" applyAlignment="1">
      <alignment horizontal="left" vertical="top" wrapText="1"/>
    </xf>
    <xf numFmtId="165" fontId="7" fillId="0" borderId="0" xfId="3" applyFont="1" applyAlignment="1">
      <alignment horizontal="left" vertical="top" wrapText="1"/>
    </xf>
    <xf numFmtId="165" fontId="28" fillId="0" borderId="0" xfId="3" applyFont="1" applyAlignment="1">
      <alignment horizontal="left" vertical="top" wrapText="1"/>
    </xf>
    <xf numFmtId="165" fontId="28" fillId="0" borderId="24" xfId="3" applyFont="1" applyBorder="1" applyAlignment="1">
      <alignment horizontal="left" vertical="top" wrapText="1"/>
    </xf>
    <xf numFmtId="0" fontId="7" fillId="0" borderId="19" xfId="0" applyFont="1" applyBorder="1" applyAlignment="1">
      <alignment horizontal="left" vertical="center"/>
    </xf>
    <xf numFmtId="0" fontId="28" fillId="0" borderId="0" xfId="0" applyFont="1" applyAlignment="1">
      <alignment horizontal="left" vertical="top" wrapText="1"/>
    </xf>
    <xf numFmtId="0" fontId="28" fillId="0" borderId="0" xfId="0" applyFont="1" applyAlignment="1">
      <alignment vertical="top" wrapText="1"/>
    </xf>
    <xf numFmtId="0" fontId="7" fillId="0" borderId="0" xfId="0" applyFont="1" applyAlignment="1">
      <alignment vertical="top" wrapText="1"/>
    </xf>
    <xf numFmtId="0" fontId="7" fillId="0" borderId="0" xfId="0" applyFont="1" applyAlignment="1">
      <alignment horizontal="left" vertical="top" wrapText="1"/>
    </xf>
    <xf numFmtId="0" fontId="7" fillId="0" borderId="0" xfId="0" quotePrefix="1" applyFont="1" applyAlignment="1">
      <alignment horizontal="left" vertical="top" wrapText="1"/>
    </xf>
    <xf numFmtId="165" fontId="7" fillId="0" borderId="0" xfId="3" applyFont="1" applyAlignment="1">
      <alignment vertical="top" wrapText="1"/>
    </xf>
    <xf numFmtId="0" fontId="28" fillId="0" borderId="24" xfId="0" applyFont="1" applyBorder="1" applyAlignment="1">
      <alignment vertical="top" wrapText="1"/>
    </xf>
    <xf numFmtId="164" fontId="28" fillId="0" borderId="0" xfId="2" applyFont="1" applyAlignment="1">
      <alignment vertical="top" wrapText="1"/>
    </xf>
    <xf numFmtId="164" fontId="7" fillId="0" borderId="0" xfId="2" applyFont="1" applyAlignment="1">
      <alignment vertical="top" wrapText="1"/>
    </xf>
    <xf numFmtId="164" fontId="28" fillId="0" borderId="24" xfId="2" applyFont="1" applyBorder="1" applyAlignment="1">
      <alignment vertical="top" wrapText="1"/>
    </xf>
    <xf numFmtId="0" fontId="0" fillId="2" borderId="0" xfId="6" applyFont="1" applyFill="1" applyAlignment="1">
      <alignment horizontal="center" vertical="center"/>
    </xf>
    <xf numFmtId="0" fontId="0" fillId="4" borderId="0" xfId="6" applyFont="1" applyFill="1" applyAlignment="1">
      <alignment horizontal="center" vertical="center"/>
    </xf>
    <xf numFmtId="0" fontId="2" fillId="0" borderId="0" xfId="2" applyNumberFormat="1" applyFont="1" applyAlignment="1">
      <alignment vertical="center"/>
    </xf>
    <xf numFmtId="0" fontId="3" fillId="0" borderId="0" xfId="0" applyFont="1" applyAlignment="1">
      <alignment horizontal="left" vertical="center"/>
    </xf>
    <xf numFmtId="3" fontId="8" fillId="0" borderId="0" xfId="0" applyNumberFormat="1" applyFont="1" applyAlignment="1">
      <alignment vertical="center"/>
    </xf>
    <xf numFmtId="0" fontId="9" fillId="0" borderId="0" xfId="0" applyFont="1" applyAlignment="1">
      <alignment vertical="center"/>
    </xf>
    <xf numFmtId="0" fontId="7" fillId="0" borderId="18" xfId="0" applyFont="1" applyBorder="1" applyAlignment="1">
      <alignment horizontal="left" vertical="center"/>
    </xf>
    <xf numFmtId="166" fontId="7" fillId="0" borderId="25" xfId="2" applyNumberFormat="1" applyFont="1" applyBorder="1" applyAlignment="1" applyProtection="1">
      <alignment horizontal="right" vertical="top" indent="1"/>
      <protection locked="0" hidden="1"/>
    </xf>
    <xf numFmtId="165" fontId="31" fillId="0" borderId="6" xfId="3" applyFont="1" applyBorder="1" applyAlignment="1">
      <alignment vertical="center" wrapText="1"/>
    </xf>
    <xf numFmtId="165" fontId="31" fillId="0" borderId="18" xfId="3" applyFont="1" applyBorder="1" applyAlignment="1">
      <alignment vertical="center" wrapText="1"/>
    </xf>
    <xf numFmtId="17" fontId="31" fillId="0" borderId="2" xfId="0" applyNumberFormat="1" applyFont="1" applyBorder="1" applyAlignment="1">
      <alignment horizontal="center" vertical="center" wrapText="1"/>
    </xf>
    <xf numFmtId="17" fontId="31" fillId="0" borderId="3" xfId="0" applyNumberFormat="1" applyFont="1" applyBorder="1" applyAlignment="1">
      <alignment horizontal="center" vertical="center" wrapText="1"/>
    </xf>
    <xf numFmtId="0" fontId="31" fillId="0" borderId="0" xfId="0" applyFont="1" applyAlignment="1">
      <alignment vertical="center"/>
    </xf>
    <xf numFmtId="0" fontId="0" fillId="2" borderId="0" xfId="0" applyFill="1" applyAlignment="1">
      <alignment horizontal="center" vertical="center"/>
    </xf>
    <xf numFmtId="0" fontId="4" fillId="2" borderId="0" xfId="0" applyFont="1" applyFill="1" applyAlignment="1">
      <alignment horizontal="center" vertical="center"/>
    </xf>
    <xf numFmtId="0" fontId="0" fillId="7" borderId="0" xfId="6" applyFont="1" applyFill="1" applyAlignment="1">
      <alignment horizontal="center" vertical="center"/>
    </xf>
    <xf numFmtId="0" fontId="13" fillId="0" borderId="0" xfId="1" applyFont="1" applyBorder="1" applyAlignment="1" applyProtection="1">
      <alignment horizontal="left"/>
    </xf>
    <xf numFmtId="0" fontId="2" fillId="0" borderId="0" xfId="2" applyNumberFormat="1" applyFont="1" applyAlignment="1">
      <alignment vertical="center"/>
    </xf>
    <xf numFmtId="0" fontId="3" fillId="0" borderId="0" xfId="0" applyFont="1" applyAlignment="1">
      <alignment horizontal="left" vertical="center" wrapText="1"/>
    </xf>
    <xf numFmtId="165" fontId="3" fillId="0" borderId="0" xfId="3" applyFont="1" applyAlignment="1">
      <alignment horizontal="left" vertical="center"/>
    </xf>
    <xf numFmtId="0" fontId="3" fillId="0" borderId="0" xfId="0" applyFont="1" applyAlignment="1">
      <alignment horizontal="justify" vertical="center" wrapText="1"/>
    </xf>
    <xf numFmtId="0" fontId="3" fillId="0" borderId="0" xfId="0" applyFont="1" applyAlignment="1">
      <alignment vertical="center"/>
    </xf>
    <xf numFmtId="0" fontId="3" fillId="0" borderId="0" xfId="0" applyFont="1" applyAlignment="1">
      <alignment horizontal="left" vertical="center"/>
    </xf>
    <xf numFmtId="165" fontId="3" fillId="0" borderId="0" xfId="3" applyFont="1"/>
    <xf numFmtId="0" fontId="3" fillId="0" borderId="0" xfId="5" applyFont="1"/>
  </cellXfs>
  <cellStyles count="8">
    <cellStyle name="Hyperlink" xfId="1" builtinId="8"/>
    <cellStyle name="Normal" xfId="0" builtinId="0"/>
    <cellStyle name="Normal 2" xfId="6" xr:uid="{D6A06B6F-D105-4061-A02F-69190F460DB8}"/>
    <cellStyle name="Normal 2 10 10" xfId="5" xr:uid="{48AA8E7A-40DF-4B6B-BF91-A7C04EFDDCDE}"/>
    <cellStyle name="Normal 4" xfId="7" xr:uid="{348CCB14-7124-4720-B627-3E170B0F9041}"/>
    <cellStyle name="Normal_HQ3" xfId="3" xr:uid="{B92C8026-ED4B-4F9E-B565-4D81B4B47572}"/>
    <cellStyle name="Normal_LMRS78" xfId="4" xr:uid="{AB0F9F89-BC0B-4911-8703-B0F7E7B9A568}"/>
    <cellStyle name="Normal_RS96" xfId="2" xr:uid="{A4B6D6DE-4552-41EA-9855-371C44C3475D}"/>
  </cellStyles>
  <dxfs count="7">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auto="1"/>
        <name val="Arial"/>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color theme="1"/>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protection locked="1" hidden="0"/>
    </dxf>
    <dxf>
      <fill>
        <patternFill patternType="solid">
          <fgColor indexed="64"/>
          <bgColor theme="0" tint="-0.14999847407452621"/>
        </patternFill>
      </fill>
      <alignment horizontal="center" vertical="center" textRotation="0" wrapText="0" indent="0" justifyLastLine="0" shrinkToFit="0" readingOrder="0"/>
      <protection locked="1" hidden="0"/>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MIN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YRLY%2090%20-%20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mantha/Project/Internet%20Q1%2015/Hours/MDW-Contents/Labour%20Turnover/New%20folder/Copy%20of%20(ssic2010)LM-LTxOC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mem- key statistics (1)"/>
      <sheetName val="minister-monthly(2)"/>
      <sheetName val="minister-Quartely (2)"/>
      <sheetName val="Annex 2.8 -MINISTER (3)"/>
      <sheetName val="ANNEX 2.4_MINISTER"/>
      <sheetName val="Annex 2.9-MINISTER"/>
      <sheetName val="SEASONALCHGE98 "/>
      <sheetName val="SEASONRS98"/>
      <sheetName val="NONSEASONRS98"/>
      <sheetName val="NONSEASONCHGE98"/>
      <sheetName val="AES"/>
      <sheetName val="QES"/>
      <sheetName val="HQ 98"/>
      <sheetName val="Annex 2.8"/>
      <sheetName val="Annex 2.9"/>
      <sheetName val="1998"/>
      <sheetName val="dos"/>
      <sheetName val="CIDB"/>
      <sheetName val="DIS"/>
      <sheetName val="1977 accumulatchange"/>
      <sheetName val="1977change"/>
      <sheetName val="Chng98 (2)"/>
      <sheetName val="Headcount &amp; EP"/>
      <sheetName val="WP"/>
    </sheetNames>
    <sheetDataSet>
      <sheetData sheetId="0"/>
      <sheetData sheetId="1"/>
      <sheetData sheetId="2"/>
      <sheetData sheetId="3"/>
      <sheetData sheetId="4"/>
      <sheetData sheetId="5"/>
      <sheetData sheetId="6"/>
      <sheetData sheetId="7"/>
      <sheetData sheetId="8"/>
      <sheetData sheetId="9"/>
      <sheetData sheetId="10">
        <row r="1">
          <cell r="A1" t="str">
            <v>TABLE  A2.1</v>
          </cell>
        </row>
        <row r="2">
          <cell r="A2" t="str">
            <v>CHANGES  IN  EMPLOYMENT,  1991 - 1996</v>
          </cell>
        </row>
        <row r="3">
          <cell r="A3" t="str">
            <v>(At  End  Of  Period)</v>
          </cell>
        </row>
        <row r="7">
          <cell r="E7" t="str">
            <v>1989</v>
          </cell>
          <cell r="G7" t="str">
            <v>1991</v>
          </cell>
          <cell r="H7" t="str">
            <v>1992</v>
          </cell>
          <cell r="I7" t="str">
            <v>1993</v>
          </cell>
          <cell r="J7" t="str">
            <v>1994</v>
          </cell>
          <cell r="K7">
            <v>1995</v>
          </cell>
          <cell r="L7" t="str">
            <v>1991</v>
          </cell>
          <cell r="N7">
            <v>1996</v>
          </cell>
          <cell r="O7">
            <v>1997</v>
          </cell>
          <cell r="P7" t="str">
            <v>1993</v>
          </cell>
          <cell r="Q7" t="str">
            <v>1994</v>
          </cell>
          <cell r="R7">
            <v>1995</v>
          </cell>
        </row>
        <row r="9">
          <cell r="E9" t="str">
            <v>Number</v>
          </cell>
          <cell r="G9" t="str">
            <v>Number</v>
          </cell>
          <cell r="L9" t="str">
            <v>Annual  Percentage  Change</v>
          </cell>
          <cell r="P9" t="str">
            <v>Annual  Percentage  Change</v>
          </cell>
        </row>
        <row r="11">
          <cell r="B11" t="str">
            <v>TOTAL</v>
          </cell>
          <cell r="E11">
            <v>72100</v>
          </cell>
          <cell r="G11">
            <v>52400</v>
          </cell>
          <cell r="H11">
            <v>40300</v>
          </cell>
          <cell r="I11">
            <v>70800</v>
          </cell>
          <cell r="J11">
            <v>72100</v>
          </cell>
          <cell r="K11">
            <v>109000</v>
          </cell>
          <cell r="L11">
            <v>3.6</v>
          </cell>
          <cell r="N11">
            <v>102600</v>
          </cell>
          <cell r="P11">
            <v>4.5</v>
          </cell>
          <cell r="Q11">
            <v>4.4000000000000004</v>
          </cell>
          <cell r="R11">
            <v>6.4</v>
          </cell>
        </row>
        <row r="13">
          <cell r="B13" t="str">
            <v>Manufacturing</v>
          </cell>
          <cell r="E13">
            <v>17300</v>
          </cell>
          <cell r="G13">
            <v>1300</v>
          </cell>
          <cell r="H13">
            <v>-7900</v>
          </cell>
          <cell r="I13">
            <v>-3100</v>
          </cell>
          <cell r="J13">
            <v>11600</v>
          </cell>
          <cell r="K13">
            <v>12500</v>
          </cell>
          <cell r="L13">
            <v>0.3</v>
          </cell>
          <cell r="N13">
            <v>-7700</v>
          </cell>
          <cell r="P13">
            <v>-0.7</v>
          </cell>
          <cell r="Q13">
            <v>2.7</v>
          </cell>
          <cell r="R13">
            <v>2.9</v>
          </cell>
        </row>
        <row r="15">
          <cell r="B15" t="str">
            <v>Construction</v>
          </cell>
          <cell r="E15">
            <v>19800</v>
          </cell>
          <cell r="F15"/>
          <cell r="G15">
            <v>17700</v>
          </cell>
          <cell r="H15">
            <v>11300</v>
          </cell>
          <cell r="I15">
            <v>26400</v>
          </cell>
          <cell r="J15">
            <v>13100</v>
          </cell>
          <cell r="K15">
            <v>40600</v>
          </cell>
          <cell r="L15">
            <v>14.7</v>
          </cell>
          <cell r="N15">
            <v>52800</v>
          </cell>
          <cell r="P15">
            <v>17.5</v>
          </cell>
          <cell r="Q15">
            <v>7.4</v>
          </cell>
          <cell r="R15">
            <v>21.4</v>
          </cell>
        </row>
        <row r="17">
          <cell r="B17" t="str">
            <v>Commerce</v>
          </cell>
          <cell r="E17">
            <v>12400</v>
          </cell>
          <cell r="G17">
            <v>8000</v>
          </cell>
          <cell r="H17">
            <v>9100</v>
          </cell>
          <cell r="I17">
            <v>14900</v>
          </cell>
          <cell r="J17">
            <v>13400</v>
          </cell>
          <cell r="K17">
            <v>14100</v>
          </cell>
          <cell r="L17">
            <v>2.2999999999999998</v>
          </cell>
          <cell r="N17">
            <v>8900</v>
          </cell>
          <cell r="P17">
            <v>4.0999999999999996</v>
          </cell>
          <cell r="Q17">
            <v>3.5</v>
          </cell>
          <cell r="R17">
            <v>3.6</v>
          </cell>
        </row>
        <row r="19">
          <cell r="B19" t="str">
            <v>Transport  &amp;  Communications</v>
          </cell>
          <cell r="E19">
            <v>5700</v>
          </cell>
          <cell r="G19">
            <v>3300</v>
          </cell>
          <cell r="H19">
            <v>6200</v>
          </cell>
          <cell r="I19">
            <v>4800</v>
          </cell>
          <cell r="J19">
            <v>2600</v>
          </cell>
          <cell r="K19">
            <v>9300</v>
          </cell>
          <cell r="L19">
            <v>2.5</v>
          </cell>
          <cell r="N19">
            <v>6200</v>
          </cell>
          <cell r="P19">
            <v>3.4</v>
          </cell>
          <cell r="Q19">
            <v>1.7</v>
          </cell>
          <cell r="R19">
            <v>6.2</v>
          </cell>
        </row>
        <row r="21">
          <cell r="B21" t="str">
            <v>Financial  &amp;  Business  Services</v>
          </cell>
          <cell r="E21">
            <v>12100</v>
          </cell>
          <cell r="G21">
            <v>5500</v>
          </cell>
          <cell r="H21">
            <v>8300</v>
          </cell>
          <cell r="I21">
            <v>12100</v>
          </cell>
          <cell r="J21">
            <v>16000</v>
          </cell>
          <cell r="K21">
            <v>18100</v>
          </cell>
          <cell r="L21">
            <v>3.3</v>
          </cell>
          <cell r="N21">
            <v>18400</v>
          </cell>
          <cell r="P21">
            <v>6.5</v>
          </cell>
          <cell r="Q21">
            <v>8</v>
          </cell>
          <cell r="R21">
            <v>8.4</v>
          </cell>
        </row>
        <row r="23">
          <cell r="B23" t="str">
            <v>Others</v>
          </cell>
          <cell r="E23">
            <v>4800</v>
          </cell>
          <cell r="G23">
            <v>16600</v>
          </cell>
          <cell r="H23">
            <v>13300</v>
          </cell>
          <cell r="I23">
            <v>15700</v>
          </cell>
          <cell r="J23">
            <v>15400</v>
          </cell>
          <cell r="K23">
            <v>14400</v>
          </cell>
          <cell r="L23">
            <v>6.2</v>
          </cell>
          <cell r="N23">
            <v>24000</v>
          </cell>
          <cell r="P23">
            <v>5.3</v>
          </cell>
          <cell r="Q23">
            <v>4.9000000000000004</v>
          </cell>
          <cell r="R23">
            <v>4.4000000000000004</v>
          </cell>
        </row>
        <row r="25">
          <cell r="A25" t="str">
            <v>Note  :    Data  are  compiled  from  administrative  records.</v>
          </cell>
          <cell r="N25" t="str">
            <v>Source: Research &amp; Statistics Department,</v>
          </cell>
        </row>
        <row r="26">
          <cell r="N26" t="str">
            <v>Ministry of Labour</v>
          </cell>
        </row>
        <row r="36">
          <cell r="A36" t="str">
            <v>XLS/MINISTRY/AES</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D-YRLY 91-97"/>
      <sheetName val="#REF"/>
    </sheetNames>
    <sheetDataSet>
      <sheetData sheetId="0">
        <row r="34">
          <cell r="F34">
            <v>1991</v>
          </cell>
          <cell r="G34">
            <v>1992</v>
          </cell>
          <cell r="H34">
            <v>1993</v>
          </cell>
          <cell r="I34">
            <v>1994</v>
          </cell>
          <cell r="J34">
            <v>1995</v>
          </cell>
          <cell r="K34">
            <v>1996</v>
          </cell>
          <cell r="L34">
            <v>1997</v>
          </cell>
          <cell r="M34">
            <v>1998</v>
          </cell>
        </row>
        <row r="35">
          <cell r="F35">
            <v>321418</v>
          </cell>
          <cell r="G35">
            <v>327386</v>
          </cell>
          <cell r="H35">
            <v>368442</v>
          </cell>
          <cell r="I35">
            <v>407555</v>
          </cell>
          <cell r="J35">
            <v>478988</v>
          </cell>
          <cell r="K35">
            <v>541709</v>
          </cell>
          <cell r="L35">
            <v>618778</v>
          </cell>
        </row>
        <row r="36">
          <cell r="F36">
            <v>126562</v>
          </cell>
          <cell r="G36">
            <v>116986</v>
          </cell>
          <cell r="H36">
            <v>118032</v>
          </cell>
          <cell r="I36">
            <v>129826</v>
          </cell>
          <cell r="J36">
            <v>145154</v>
          </cell>
          <cell r="K36">
            <v>145314</v>
          </cell>
          <cell r="L36">
            <v>153232</v>
          </cell>
        </row>
        <row r="37">
          <cell r="F37">
            <v>2403</v>
          </cell>
          <cell r="G37">
            <v>2440</v>
          </cell>
          <cell r="H37">
            <v>2561</v>
          </cell>
          <cell r="I37">
            <v>2908</v>
          </cell>
          <cell r="J37">
            <v>3188</v>
          </cell>
          <cell r="K37">
            <v>3624</v>
          </cell>
          <cell r="L37">
            <v>3990</v>
          </cell>
        </row>
        <row r="38">
          <cell r="F38">
            <v>11915</v>
          </cell>
          <cell r="G38">
            <v>9430</v>
          </cell>
          <cell r="H38">
            <v>8068</v>
          </cell>
          <cell r="I38">
            <v>6936</v>
          </cell>
          <cell r="J38">
            <v>5123</v>
          </cell>
          <cell r="K38">
            <v>4018</v>
          </cell>
          <cell r="L38">
            <v>3787</v>
          </cell>
        </row>
        <row r="39">
          <cell r="F39">
            <v>4569</v>
          </cell>
          <cell r="G39">
            <v>4615</v>
          </cell>
          <cell r="H39">
            <v>4845</v>
          </cell>
          <cell r="I39">
            <v>5400</v>
          </cell>
          <cell r="J39">
            <v>5502</v>
          </cell>
          <cell r="K39">
            <v>5489</v>
          </cell>
          <cell r="L39">
            <v>5642</v>
          </cell>
        </row>
        <row r="40">
          <cell r="F40">
            <v>6979</v>
          </cell>
          <cell r="G40">
            <v>7253</v>
          </cell>
          <cell r="H40">
            <v>7552</v>
          </cell>
          <cell r="I40">
            <v>8892</v>
          </cell>
          <cell r="J40">
            <v>10055</v>
          </cell>
          <cell r="K40">
            <v>10321</v>
          </cell>
          <cell r="L40">
            <v>10879</v>
          </cell>
        </row>
        <row r="41">
          <cell r="F41">
            <v>7033</v>
          </cell>
          <cell r="G41">
            <v>7200</v>
          </cell>
          <cell r="H41">
            <v>6985</v>
          </cell>
          <cell r="I41">
            <v>7680</v>
          </cell>
          <cell r="J41">
            <v>8848</v>
          </cell>
          <cell r="K41">
            <v>8921</v>
          </cell>
          <cell r="L41">
            <v>10007</v>
          </cell>
        </row>
        <row r="42">
          <cell r="F42">
            <v>7148</v>
          </cell>
          <cell r="G42">
            <v>7169</v>
          </cell>
          <cell r="H42">
            <v>7397</v>
          </cell>
          <cell r="I42">
            <v>8613</v>
          </cell>
          <cell r="J42">
            <v>9842</v>
          </cell>
          <cell r="K42">
            <v>10455</v>
          </cell>
          <cell r="L42">
            <v>13635</v>
          </cell>
        </row>
        <row r="43">
          <cell r="F43">
            <v>5994</v>
          </cell>
          <cell r="G43">
            <v>5301</v>
          </cell>
          <cell r="H43">
            <v>5573</v>
          </cell>
          <cell r="I43">
            <v>5957</v>
          </cell>
          <cell r="J43">
            <v>6211</v>
          </cell>
          <cell r="K43">
            <v>5556</v>
          </cell>
          <cell r="L43">
            <v>5066</v>
          </cell>
        </row>
        <row r="44">
          <cell r="F44">
            <v>41676</v>
          </cell>
          <cell r="G44">
            <v>42126</v>
          </cell>
          <cell r="H44">
            <v>43836</v>
          </cell>
          <cell r="I44">
            <v>48699</v>
          </cell>
          <cell r="J44">
            <v>55935</v>
          </cell>
          <cell r="K44">
            <v>54848</v>
          </cell>
          <cell r="L44">
            <v>56317</v>
          </cell>
        </row>
        <row r="45">
          <cell r="F45">
            <v>2543</v>
          </cell>
          <cell r="G45">
            <v>2114</v>
          </cell>
          <cell r="H45">
            <v>2023</v>
          </cell>
          <cell r="I45">
            <v>2205</v>
          </cell>
          <cell r="J45">
            <v>2608</v>
          </cell>
          <cell r="K45">
            <v>2624</v>
          </cell>
          <cell r="L45">
            <v>3128</v>
          </cell>
        </row>
        <row r="46">
          <cell r="F46">
            <v>29222</v>
          </cell>
          <cell r="G46">
            <v>21958</v>
          </cell>
          <cell r="H46">
            <v>21865</v>
          </cell>
          <cell r="I46">
            <v>24742</v>
          </cell>
          <cell r="J46">
            <v>28660</v>
          </cell>
          <cell r="K46">
            <v>29438</v>
          </cell>
          <cell r="L46">
            <v>31187</v>
          </cell>
        </row>
        <row r="47">
          <cell r="F47">
            <v>7080</v>
          </cell>
          <cell r="G47">
            <v>7380</v>
          </cell>
          <cell r="H47">
            <v>7327</v>
          </cell>
          <cell r="I47">
            <v>7794</v>
          </cell>
          <cell r="J47">
            <v>9182</v>
          </cell>
          <cell r="K47">
            <v>10020</v>
          </cell>
          <cell r="L47">
            <v>9594</v>
          </cell>
        </row>
        <row r="48">
          <cell r="F48">
            <v>81129</v>
          </cell>
          <cell r="G48">
            <v>86296</v>
          </cell>
          <cell r="H48">
            <v>108646</v>
          </cell>
          <cell r="I48">
            <v>117421</v>
          </cell>
          <cell r="J48">
            <v>150005</v>
          </cell>
          <cell r="K48">
            <v>189963</v>
          </cell>
          <cell r="L48">
            <v>229100</v>
          </cell>
        </row>
        <row r="49">
          <cell r="F49">
            <v>113444</v>
          </cell>
          <cell r="G49">
            <v>123802</v>
          </cell>
          <cell r="H49">
            <v>141535</v>
          </cell>
          <cell r="I49">
            <v>160077</v>
          </cell>
          <cell r="J49">
            <v>183552</v>
          </cell>
          <cell r="K49">
            <v>206050</v>
          </cell>
          <cell r="L49">
            <v>235930</v>
          </cell>
        </row>
        <row r="50">
          <cell r="F50">
            <v>9959</v>
          </cell>
          <cell r="G50">
            <v>11368</v>
          </cell>
          <cell r="H50">
            <v>13312</v>
          </cell>
          <cell r="I50">
            <v>15805</v>
          </cell>
          <cell r="J50">
            <v>18827</v>
          </cell>
          <cell r="K50">
            <v>21089</v>
          </cell>
          <cell r="L50">
            <v>25051</v>
          </cell>
        </row>
        <row r="51">
          <cell r="F51">
            <v>7895</v>
          </cell>
          <cell r="G51">
            <v>8977</v>
          </cell>
          <cell r="H51">
            <v>10411</v>
          </cell>
          <cell r="I51">
            <v>12567</v>
          </cell>
          <cell r="J51">
            <v>14810</v>
          </cell>
          <cell r="K51">
            <v>16493</v>
          </cell>
          <cell r="L51">
            <v>19509</v>
          </cell>
        </row>
        <row r="52">
          <cell r="F52">
            <v>2064</v>
          </cell>
          <cell r="G52">
            <v>2391</v>
          </cell>
          <cell r="H52">
            <v>2901</v>
          </cell>
          <cell r="I52">
            <v>3238</v>
          </cell>
          <cell r="J52">
            <v>4017</v>
          </cell>
          <cell r="K52">
            <v>4596</v>
          </cell>
          <cell r="L52">
            <v>5542</v>
          </cell>
        </row>
        <row r="53">
          <cell r="F53">
            <v>7758</v>
          </cell>
          <cell r="G53">
            <v>8526</v>
          </cell>
          <cell r="H53">
            <v>9734</v>
          </cell>
          <cell r="I53">
            <v>10622</v>
          </cell>
          <cell r="J53">
            <v>12911</v>
          </cell>
          <cell r="K53">
            <v>14159</v>
          </cell>
          <cell r="L53">
            <v>16249</v>
          </cell>
        </row>
        <row r="54">
          <cell r="F54">
            <v>5531</v>
          </cell>
          <cell r="G54">
            <v>6333</v>
          </cell>
          <cell r="H54">
            <v>7751</v>
          </cell>
          <cell r="I54">
            <v>9047</v>
          </cell>
          <cell r="J54">
            <v>13645</v>
          </cell>
          <cell r="K54">
            <v>15430</v>
          </cell>
          <cell r="L54">
            <v>17591</v>
          </cell>
        </row>
        <row r="55">
          <cell r="F55">
            <v>3318</v>
          </cell>
          <cell r="G55">
            <v>3085</v>
          </cell>
          <cell r="H55">
            <v>3455</v>
          </cell>
          <cell r="I55">
            <v>4455</v>
          </cell>
          <cell r="J55">
            <v>5162</v>
          </cell>
          <cell r="K55">
            <v>5735</v>
          </cell>
          <cell r="L55">
            <v>7332</v>
          </cell>
        </row>
        <row r="56">
          <cell r="F56">
            <v>3081</v>
          </cell>
          <cell r="G56">
            <v>2819</v>
          </cell>
          <cell r="H56">
            <v>3207</v>
          </cell>
          <cell r="I56">
            <v>4183</v>
          </cell>
          <cell r="J56">
            <v>4856</v>
          </cell>
          <cell r="K56">
            <v>5406</v>
          </cell>
          <cell r="L56">
            <v>6903</v>
          </cell>
        </row>
        <row r="57">
          <cell r="F57">
            <v>237</v>
          </cell>
          <cell r="G57">
            <v>266</v>
          </cell>
          <cell r="H57">
            <v>248</v>
          </cell>
          <cell r="I57">
            <v>272</v>
          </cell>
          <cell r="J57">
            <v>306</v>
          </cell>
          <cell r="K57">
            <v>329</v>
          </cell>
          <cell r="L57">
            <v>429</v>
          </cell>
        </row>
        <row r="58">
          <cell r="F58">
            <v>9476</v>
          </cell>
          <cell r="G58">
            <v>10344</v>
          </cell>
          <cell r="H58">
            <v>12071</v>
          </cell>
          <cell r="I58">
            <v>15070</v>
          </cell>
          <cell r="J58">
            <v>17707</v>
          </cell>
          <cell r="K58">
            <v>20434</v>
          </cell>
          <cell r="L58">
            <v>25115</v>
          </cell>
        </row>
        <row r="59">
          <cell r="F59">
            <v>212</v>
          </cell>
          <cell r="G59">
            <v>109</v>
          </cell>
          <cell r="H59">
            <v>1309</v>
          </cell>
          <cell r="I59">
            <v>1445</v>
          </cell>
          <cell r="J59">
            <v>1479</v>
          </cell>
          <cell r="K59">
            <v>1605</v>
          </cell>
          <cell r="L59">
            <v>2190</v>
          </cell>
        </row>
        <row r="60">
          <cell r="F60">
            <v>2307</v>
          </cell>
          <cell r="G60">
            <v>2388</v>
          </cell>
          <cell r="H60">
            <v>2821</v>
          </cell>
          <cell r="I60">
            <v>3195</v>
          </cell>
          <cell r="J60">
            <v>3410</v>
          </cell>
          <cell r="K60">
            <v>3570</v>
          </cell>
          <cell r="L60">
            <v>4224</v>
          </cell>
        </row>
        <row r="61">
          <cell r="F61">
            <v>1009</v>
          </cell>
          <cell r="G61">
            <v>949</v>
          </cell>
          <cell r="H61">
            <v>1890</v>
          </cell>
          <cell r="I61">
            <v>2447</v>
          </cell>
          <cell r="J61">
            <v>3532</v>
          </cell>
          <cell r="K61">
            <v>4747</v>
          </cell>
          <cell r="L61">
            <v>5922</v>
          </cell>
        </row>
        <row r="62">
          <cell r="F62">
            <v>3122</v>
          </cell>
          <cell r="G62">
            <v>3685</v>
          </cell>
          <cell r="H62">
            <v>4594</v>
          </cell>
          <cell r="I62">
            <v>5306</v>
          </cell>
          <cell r="J62">
            <v>6253</v>
          </cell>
          <cell r="K62">
            <v>6978</v>
          </cell>
          <cell r="L62">
            <v>8771</v>
          </cell>
        </row>
        <row r="63">
          <cell r="F63">
            <v>70632</v>
          </cell>
          <cell r="G63">
            <v>76906</v>
          </cell>
          <cell r="H63">
            <v>84454</v>
          </cell>
          <cell r="I63">
            <v>92541</v>
          </cell>
          <cell r="J63">
            <v>100476</v>
          </cell>
          <cell r="K63">
            <v>112144</v>
          </cell>
          <cell r="L63">
            <v>123173</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Q198(ssic1996)"/>
      <sheetName val="Q298(ssic1996)"/>
      <sheetName val="Q398(ssic1996)"/>
      <sheetName val="1998(ssic1996)"/>
      <sheetName val="Q199(ssic1996)"/>
      <sheetName val="Q299(ssic1996)"/>
      <sheetName val="Q399(ssic1996)"/>
      <sheetName val="1999(ssic1996)"/>
      <sheetName val="Q100(ssic2000)"/>
      <sheetName val="Q200(ssic2000)"/>
      <sheetName val="Q300(ssic2000)"/>
      <sheetName val="2000(ssic2000)"/>
      <sheetName val="Q101(ssic2000)"/>
      <sheetName val="Q201(ssic2000)"/>
      <sheetName val="Q301(ssic2000)"/>
      <sheetName val="2001(ssic2000)"/>
      <sheetName val="Q102(ssic2000)"/>
      <sheetName val="Q202(ssic2000)"/>
      <sheetName val="Q302(ssic2000)"/>
      <sheetName val="2002(ssic2000)"/>
      <sheetName val="Q103(ssic2000)"/>
      <sheetName val="Q203(ssic2000)"/>
      <sheetName val="Q303(ssic2000)"/>
      <sheetName val="2003(ssic2000)"/>
      <sheetName val="Q104(ssic2000)"/>
      <sheetName val="Q204(ssic2000)"/>
      <sheetName val="Q304(ssic2000)"/>
      <sheetName val="2004(ssic2000)"/>
      <sheetName val="Q105(ssic2000)"/>
      <sheetName val="Q205(ssic2000)"/>
      <sheetName val="Q305(ssic2000)"/>
      <sheetName val="2005(ssic2000)"/>
      <sheetName val="Q106(ssic2010)"/>
      <sheetName val="Q206(ssic2010)"/>
      <sheetName val="Q306(ssic2010)"/>
      <sheetName val="2006(ssic2010)"/>
      <sheetName val="Q107(ssic2010)"/>
      <sheetName val="Q207(ssic2010)"/>
      <sheetName val="Q307(ssic2010)"/>
      <sheetName val="2007(ssic2010)"/>
      <sheetName val="Q108(ssic2010)"/>
      <sheetName val="Q208(ssic2010)"/>
      <sheetName val="Q308(ssic2010)"/>
      <sheetName val="2008(ssic2010)"/>
      <sheetName val="Q109(ssic2010)"/>
      <sheetName val="Q209(ssic2010)"/>
      <sheetName val="Q309(ssic2010)"/>
      <sheetName val="2009(ssic2010)"/>
      <sheetName val="Q110(ssic2010)"/>
      <sheetName val="Q210(ssic2010)"/>
      <sheetName val="Q310(ssic2010)"/>
      <sheetName val="2010(ssic2010)"/>
      <sheetName val="Q111(ssic2010)"/>
      <sheetName val="Q211(ssic2010)"/>
      <sheetName val="Q311(ssic2010)"/>
      <sheetName val="2011(ssic2010)"/>
      <sheetName val="Q112(ssic2010)"/>
      <sheetName val="Q212(ssic2010)"/>
      <sheetName val="Q312(ssic2010)"/>
      <sheetName val="2012(ssic2010)"/>
      <sheetName val="Q113(ssic2010)"/>
      <sheetName val="Q213(ssic2010)"/>
      <sheetName val="Q313(ssic2010)"/>
      <sheetName val="2013(ssic2010)"/>
      <sheetName val="Q114(ssic2010)"/>
      <sheetName val="Q214(ssic2010)"/>
      <sheetName val="Q314(ssic2010)"/>
      <sheetName val="2014(ssic2010)"/>
      <sheetName val="Q115(ssic2010)"/>
    </sheetNames>
    <sheetDataSet>
      <sheetData sheetId="0">
        <row r="4">
          <cell r="A4" t="str">
            <v>Annual</v>
          </cell>
        </row>
        <row r="5">
          <cell r="A5" t="str">
            <v>Q1</v>
          </cell>
        </row>
        <row r="6">
          <cell r="A6" t="str">
            <v>Q2</v>
          </cell>
        </row>
        <row r="7">
          <cell r="A7" t="str">
            <v>Q3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3D7BF2-B0BB-46BC-88D0-05A08D63B144}" name="Table1" displayName="Table1" ref="A2:D38" totalsRowShown="0" tableBorderDxfId="6">
  <autoFilter ref="A2:D38" xr:uid="{00000000-0009-0000-0100-000001000000}"/>
  <tableColumns count="4">
    <tableColumn id="1" xr3:uid="{00000000-0010-0000-0000-000001000000}" name="Year " dataDxfId="5"/>
    <tableColumn id="2" xr3:uid="{00000000-0010-0000-0000-000002000000}" name="Sheet Name" dataDxfId="4"/>
    <tableColumn id="3" xr3:uid="{00000000-0010-0000-0000-000003000000}" name="SSIC display2" dataDxfId="3"/>
    <tableColumn id="4" xr3:uid="{00000000-0010-0000-0000-000004000000}" name="Cell destination" dataDxfId="2"/>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ats.mom.gov.sg/SL/Pages/Employment-Administrative-Records-Uses-and-Limitations.aspx?Flag=1&amp;TRMID=312&amp;PageNo=1" TargetMode="External"/><Relationship Id="rId1" Type="http://schemas.openxmlformats.org/officeDocument/2006/relationships/hyperlink" Target="http://stats.mom.gov.sg/SL/Pages/Job-Vacancy-Introduction.aspx?Flag=87&amp;Category=Introduction"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F68E6-6779-41F8-B5AB-0C47DE078720}">
  <dimension ref="A1:Y50"/>
  <sheetViews>
    <sheetView showGridLines="0" topLeftCell="I1" workbookViewId="0">
      <selection activeCell="I8" sqref="I8"/>
    </sheetView>
  </sheetViews>
  <sheetFormatPr defaultColWidth="28.7109375" defaultRowHeight="12.75" x14ac:dyDescent="0.2"/>
  <cols>
    <col min="1" max="7" width="28.7109375" style="12" hidden="1" customWidth="1"/>
    <col min="8" max="8" width="1.7109375" style="12" hidden="1" customWidth="1"/>
    <col min="9" max="10" width="28.7109375" style="12"/>
    <col min="11" max="11" width="28.7109375" style="13"/>
    <col min="12" max="16384" width="28.7109375" style="12"/>
  </cols>
  <sheetData>
    <row r="1" spans="1:25" x14ac:dyDescent="0.2">
      <c r="A1" s="32"/>
    </row>
    <row r="2" spans="1:25" ht="18.75" thickBot="1" x14ac:dyDescent="0.3">
      <c r="A2" s="60" t="s">
        <v>225</v>
      </c>
      <c r="B2" s="59" t="s">
        <v>224</v>
      </c>
      <c r="C2" s="58" t="s">
        <v>223</v>
      </c>
      <c r="D2" s="58" t="s">
        <v>222</v>
      </c>
      <c r="I2" s="57" t="s">
        <v>221</v>
      </c>
    </row>
    <row r="3" spans="1:25" ht="6.6" customHeight="1" thickTop="1" x14ac:dyDescent="0.25">
      <c r="A3" s="17">
        <v>1990</v>
      </c>
      <c r="B3" s="20" t="s">
        <v>233</v>
      </c>
      <c r="C3" s="140" t="s">
        <v>233</v>
      </c>
      <c r="D3" s="19" t="s">
        <v>204</v>
      </c>
      <c r="I3" s="56"/>
      <c r="J3" s="21"/>
      <c r="K3" s="22"/>
      <c r="L3" s="21"/>
      <c r="M3" s="21"/>
      <c r="N3" s="21"/>
      <c r="O3" s="21"/>
      <c r="P3" s="21"/>
      <c r="Q3" s="21"/>
      <c r="R3" s="21"/>
      <c r="S3" s="21"/>
      <c r="T3" s="21"/>
      <c r="U3" s="21"/>
      <c r="V3" s="21"/>
      <c r="W3" s="21"/>
      <c r="X3" s="21"/>
      <c r="Y3" s="21"/>
    </row>
    <row r="4" spans="1:25" ht="14.25" customHeight="1" x14ac:dyDescent="0.25">
      <c r="A4" s="17">
        <v>1991</v>
      </c>
      <c r="B4" s="20" t="s">
        <v>233</v>
      </c>
      <c r="C4" s="17" t="s">
        <v>233</v>
      </c>
      <c r="D4" s="19" t="s">
        <v>202</v>
      </c>
      <c r="E4" s="55" t="s">
        <v>220</v>
      </c>
      <c r="F4" s="55" t="s">
        <v>215</v>
      </c>
      <c r="I4" s="54"/>
      <c r="J4" s="52"/>
      <c r="K4" s="53"/>
      <c r="L4" s="52"/>
      <c r="M4" s="52"/>
      <c r="N4" s="52"/>
      <c r="O4" s="52"/>
      <c r="P4" s="52"/>
      <c r="Q4" s="52"/>
      <c r="R4" s="52"/>
      <c r="S4" s="52"/>
      <c r="T4" s="52"/>
      <c r="U4" s="52"/>
      <c r="V4" s="52"/>
      <c r="W4" s="52"/>
      <c r="X4" s="52"/>
      <c r="Y4" s="52"/>
    </row>
    <row r="5" spans="1:25" ht="15.75" x14ac:dyDescent="0.25">
      <c r="A5" s="17">
        <v>1992</v>
      </c>
      <c r="B5" s="20" t="s">
        <v>233</v>
      </c>
      <c r="C5" s="17" t="s">
        <v>233</v>
      </c>
      <c r="D5" s="140" t="s">
        <v>201</v>
      </c>
      <c r="E5" s="155" t="str">
        <f>VLOOKUP(I8,A3:D38,3)</f>
        <v>SSIC 2020</v>
      </c>
      <c r="F5" s="51" t="str">
        <f>VLOOKUP(L8,Table1[Sheet Name],1,0)</f>
        <v>SSIC2020</v>
      </c>
      <c r="G5" s="44" t="s">
        <v>219</v>
      </c>
      <c r="I5" s="48" t="s">
        <v>226</v>
      </c>
    </row>
    <row r="6" spans="1:25" ht="15.75" x14ac:dyDescent="0.25">
      <c r="A6" s="17">
        <v>1993</v>
      </c>
      <c r="B6" s="20" t="s">
        <v>233</v>
      </c>
      <c r="C6" s="17" t="s">
        <v>233</v>
      </c>
      <c r="D6" s="140" t="s">
        <v>199</v>
      </c>
      <c r="E6" s="50" t="str">
        <f>MID(E5,11,8)</f>
        <v/>
      </c>
      <c r="F6" s="49" t="str">
        <f>IF(L8=F8,INDEX(A3:D13,MATCH(I8,A3:A13,0),4),IF(L8=F9,INDEX(A14:D20,MATCH(I8,A14:A20,0),4),IF(L8=F10,INDEX(A21:D38,MATCH(I8,A21:A38,0),4))))</f>
        <v>T3</v>
      </c>
      <c r="G6" s="44" t="s">
        <v>218</v>
      </c>
      <c r="I6" s="48"/>
    </row>
    <row r="7" spans="1:25" x14ac:dyDescent="0.2">
      <c r="A7" s="17">
        <v>1994</v>
      </c>
      <c r="B7" s="20" t="s">
        <v>233</v>
      </c>
      <c r="C7" s="17" t="s">
        <v>233</v>
      </c>
      <c r="D7" s="140" t="s">
        <v>197</v>
      </c>
      <c r="F7" s="13"/>
      <c r="G7" s="32"/>
      <c r="H7" s="14"/>
      <c r="I7" s="46" t="s">
        <v>217</v>
      </c>
      <c r="J7" s="46"/>
      <c r="K7" s="46"/>
      <c r="L7" s="46" t="s">
        <v>216</v>
      </c>
      <c r="M7" s="47"/>
      <c r="N7" s="46"/>
      <c r="O7" s="46" t="s">
        <v>215</v>
      </c>
      <c r="P7" s="45"/>
      <c r="Q7" s="45"/>
      <c r="R7" s="45"/>
      <c r="S7" s="45"/>
      <c r="T7" s="45"/>
      <c r="U7" s="45"/>
      <c r="V7" s="45"/>
      <c r="W7" s="45"/>
      <c r="X7" s="45"/>
      <c r="Y7" s="45"/>
    </row>
    <row r="8" spans="1:25" x14ac:dyDescent="0.2">
      <c r="A8" s="17">
        <v>1995</v>
      </c>
      <c r="B8" s="20" t="s">
        <v>233</v>
      </c>
      <c r="C8" s="17" t="s">
        <v>233</v>
      </c>
      <c r="D8" s="140" t="s">
        <v>196</v>
      </c>
      <c r="F8" s="34" t="s">
        <v>233</v>
      </c>
      <c r="G8" s="44"/>
      <c r="H8" s="14"/>
      <c r="I8" s="43">
        <v>2025</v>
      </c>
      <c r="J8" s="42"/>
      <c r="K8" s="40"/>
      <c r="L8" s="41" t="s">
        <v>289</v>
      </c>
      <c r="M8" s="40"/>
      <c r="N8" s="39"/>
      <c r="O8" s="39" t="str">
        <f>HYPERLINK("#"&amp;"'" &amp;F5 &amp; "'!" &amp;F6,"Go")</f>
        <v>Go</v>
      </c>
      <c r="P8" s="38"/>
      <c r="Q8" s="38"/>
      <c r="R8" s="38"/>
      <c r="S8" s="38"/>
      <c r="T8" s="38"/>
      <c r="U8" s="38"/>
      <c r="V8" s="38"/>
      <c r="W8" s="38"/>
      <c r="X8" s="38"/>
      <c r="Y8" s="38"/>
    </row>
    <row r="9" spans="1:25" x14ac:dyDescent="0.2">
      <c r="A9" s="17">
        <v>1996</v>
      </c>
      <c r="B9" s="20" t="s">
        <v>233</v>
      </c>
      <c r="C9" s="17" t="s">
        <v>233</v>
      </c>
      <c r="D9" s="140" t="s">
        <v>194</v>
      </c>
      <c r="E9" s="15"/>
      <c r="F9" s="34" t="s">
        <v>206</v>
      </c>
      <c r="G9" s="15"/>
      <c r="H9" s="14"/>
      <c r="I9" s="37"/>
      <c r="J9" s="36"/>
      <c r="K9" s="15"/>
      <c r="L9" s="14"/>
      <c r="M9" s="14"/>
      <c r="N9" s="24"/>
    </row>
    <row r="10" spans="1:25" x14ac:dyDescent="0.2">
      <c r="A10" s="17">
        <v>1997</v>
      </c>
      <c r="B10" s="20" t="s">
        <v>233</v>
      </c>
      <c r="C10" s="17" t="s">
        <v>233</v>
      </c>
      <c r="D10" s="140" t="s">
        <v>193</v>
      </c>
      <c r="E10" s="35"/>
      <c r="F10" s="34" t="s">
        <v>289</v>
      </c>
      <c r="G10" s="35"/>
      <c r="H10" s="14"/>
      <c r="I10" s="31" t="s">
        <v>214</v>
      </c>
      <c r="K10" s="15"/>
      <c r="L10" s="14"/>
      <c r="M10" s="14"/>
      <c r="N10" s="24"/>
    </row>
    <row r="11" spans="1:25" x14ac:dyDescent="0.2">
      <c r="A11" s="17">
        <v>1998</v>
      </c>
      <c r="B11" s="20" t="s">
        <v>233</v>
      </c>
      <c r="C11" s="17" t="s">
        <v>233</v>
      </c>
      <c r="D11" s="140" t="s">
        <v>192</v>
      </c>
      <c r="E11" s="34"/>
      <c r="G11" s="34"/>
      <c r="H11" s="14"/>
      <c r="I11" s="30" t="s">
        <v>207</v>
      </c>
      <c r="K11" s="15"/>
      <c r="L11" s="14"/>
      <c r="M11" s="14"/>
      <c r="N11" s="24"/>
    </row>
    <row r="12" spans="1:25" x14ac:dyDescent="0.2">
      <c r="A12" s="17">
        <v>1999</v>
      </c>
      <c r="B12" s="20" t="s">
        <v>233</v>
      </c>
      <c r="C12" s="17" t="s">
        <v>233</v>
      </c>
      <c r="D12" s="140" t="s">
        <v>191</v>
      </c>
      <c r="E12" s="15"/>
      <c r="F12" s="15"/>
      <c r="G12" s="15"/>
      <c r="H12" s="14"/>
      <c r="I12" s="33" t="s">
        <v>213</v>
      </c>
      <c r="J12" s="32"/>
      <c r="K12" s="15"/>
      <c r="L12" s="15"/>
      <c r="M12" s="15"/>
      <c r="N12" s="24"/>
      <c r="O12" s="32"/>
      <c r="P12" s="32"/>
      <c r="Q12" s="32"/>
      <c r="R12" s="32"/>
      <c r="S12" s="32"/>
      <c r="T12" s="32"/>
      <c r="U12" s="32"/>
      <c r="V12" s="32"/>
      <c r="W12" s="32"/>
      <c r="X12" s="32"/>
      <c r="Y12" s="32"/>
    </row>
    <row r="13" spans="1:25" x14ac:dyDescent="0.2">
      <c r="A13" s="17">
        <v>2000</v>
      </c>
      <c r="B13" s="20" t="s">
        <v>233</v>
      </c>
      <c r="C13" s="17" t="s">
        <v>233</v>
      </c>
      <c r="D13" s="140" t="s">
        <v>212</v>
      </c>
      <c r="E13" s="15"/>
      <c r="F13" s="15"/>
      <c r="G13" s="15"/>
      <c r="H13" s="14"/>
      <c r="I13" s="33"/>
      <c r="J13" s="32"/>
      <c r="K13" s="15"/>
      <c r="L13" s="15"/>
      <c r="M13" s="15"/>
      <c r="N13" s="24"/>
      <c r="O13" s="32"/>
      <c r="P13" s="32"/>
      <c r="Q13" s="32"/>
      <c r="R13" s="32"/>
      <c r="S13" s="32"/>
      <c r="T13" s="32"/>
      <c r="U13" s="32"/>
      <c r="V13" s="32"/>
      <c r="W13" s="32"/>
      <c r="X13" s="32"/>
      <c r="Y13" s="32"/>
    </row>
    <row r="14" spans="1:25" x14ac:dyDescent="0.2">
      <c r="A14" s="28">
        <v>2001</v>
      </c>
      <c r="B14" s="29" t="s">
        <v>206</v>
      </c>
      <c r="C14" s="28" t="s">
        <v>206</v>
      </c>
      <c r="D14" s="27" t="s">
        <v>204</v>
      </c>
      <c r="E14" s="15"/>
      <c r="F14" s="15"/>
      <c r="G14" s="15"/>
      <c r="H14" s="14"/>
      <c r="I14" s="33" t="s">
        <v>211</v>
      </c>
      <c r="J14" s="32"/>
      <c r="K14" s="15"/>
      <c r="L14" s="15"/>
      <c r="M14" s="15"/>
      <c r="N14" s="24"/>
      <c r="O14" s="32"/>
      <c r="P14" s="32"/>
      <c r="Q14" s="32"/>
      <c r="R14" s="32"/>
      <c r="S14" s="32"/>
      <c r="T14" s="32"/>
      <c r="U14" s="32"/>
      <c r="V14" s="32"/>
      <c r="W14" s="32"/>
      <c r="X14" s="32"/>
      <c r="Y14" s="32"/>
    </row>
    <row r="15" spans="1:25" x14ac:dyDescent="0.2">
      <c r="A15" s="28">
        <v>2002</v>
      </c>
      <c r="B15" s="29" t="s">
        <v>206</v>
      </c>
      <c r="C15" s="28" t="s">
        <v>206</v>
      </c>
      <c r="D15" s="141" t="s">
        <v>202</v>
      </c>
      <c r="E15" s="15"/>
      <c r="F15" s="15"/>
      <c r="G15" s="15"/>
      <c r="H15" s="14"/>
      <c r="I15" s="33" t="s">
        <v>210</v>
      </c>
      <c r="J15" s="32"/>
      <c r="K15" s="15"/>
      <c r="L15" s="15"/>
      <c r="M15" s="15"/>
      <c r="N15" s="24"/>
      <c r="O15" s="32"/>
      <c r="P15" s="32"/>
      <c r="Q15" s="32"/>
      <c r="R15" s="32"/>
      <c r="S15" s="32"/>
      <c r="T15" s="32"/>
      <c r="U15" s="32"/>
      <c r="V15" s="32"/>
      <c r="W15" s="32"/>
      <c r="X15" s="32"/>
      <c r="Y15" s="32"/>
    </row>
    <row r="16" spans="1:25" x14ac:dyDescent="0.2">
      <c r="A16" s="28">
        <v>2003</v>
      </c>
      <c r="B16" s="29" t="s">
        <v>206</v>
      </c>
      <c r="C16" s="28" t="s">
        <v>206</v>
      </c>
      <c r="D16" s="141" t="s">
        <v>201</v>
      </c>
      <c r="E16" s="15"/>
      <c r="F16" s="15"/>
      <c r="G16" s="15"/>
      <c r="H16" s="14"/>
      <c r="I16" s="33" t="s">
        <v>209</v>
      </c>
      <c r="J16" s="32"/>
      <c r="K16" s="15"/>
      <c r="L16" s="15"/>
      <c r="M16" s="15"/>
      <c r="N16" s="24"/>
      <c r="O16" s="32"/>
      <c r="P16" s="32"/>
      <c r="Q16" s="32"/>
      <c r="R16" s="32"/>
      <c r="S16" s="32"/>
      <c r="T16" s="32"/>
      <c r="U16" s="32"/>
      <c r="V16" s="32"/>
      <c r="W16" s="32"/>
      <c r="X16" s="32"/>
      <c r="Y16" s="32"/>
    </row>
    <row r="17" spans="1:25" x14ac:dyDescent="0.2">
      <c r="A17" s="28">
        <v>2004</v>
      </c>
      <c r="B17" s="29" t="s">
        <v>206</v>
      </c>
      <c r="C17" s="28" t="s">
        <v>206</v>
      </c>
      <c r="D17" s="141" t="s">
        <v>199</v>
      </c>
      <c r="E17" s="15"/>
      <c r="F17" s="15"/>
      <c r="G17" s="15"/>
      <c r="H17" s="14"/>
      <c r="I17" s="18"/>
      <c r="K17" s="15"/>
      <c r="L17" s="14"/>
      <c r="M17" s="14"/>
      <c r="N17" s="24"/>
    </row>
    <row r="18" spans="1:25" x14ac:dyDescent="0.2">
      <c r="A18" s="28">
        <v>2005</v>
      </c>
      <c r="B18" s="29" t="s">
        <v>206</v>
      </c>
      <c r="C18" s="28" t="s">
        <v>206</v>
      </c>
      <c r="D18" s="141" t="s">
        <v>197</v>
      </c>
      <c r="E18" s="15"/>
      <c r="F18" s="15"/>
      <c r="G18" s="15"/>
      <c r="H18" s="14"/>
      <c r="I18" s="31" t="s">
        <v>208</v>
      </c>
      <c r="K18" s="15"/>
      <c r="L18" s="14"/>
      <c r="M18" s="14"/>
      <c r="N18" s="24"/>
    </row>
    <row r="19" spans="1:25" x14ac:dyDescent="0.2">
      <c r="A19" s="28">
        <v>2006</v>
      </c>
      <c r="B19" s="29" t="s">
        <v>206</v>
      </c>
      <c r="C19" s="28" t="s">
        <v>206</v>
      </c>
      <c r="D19" s="141" t="s">
        <v>196</v>
      </c>
      <c r="E19" s="15"/>
      <c r="F19" s="15"/>
      <c r="G19" s="15"/>
      <c r="H19" s="14"/>
      <c r="I19" s="30" t="s">
        <v>207</v>
      </c>
      <c r="K19" s="15"/>
      <c r="L19" s="14"/>
      <c r="M19" s="14"/>
      <c r="N19" s="24"/>
    </row>
    <row r="20" spans="1:25" x14ac:dyDescent="0.2">
      <c r="A20" s="28">
        <v>2007</v>
      </c>
      <c r="B20" s="29" t="s">
        <v>206</v>
      </c>
      <c r="C20" s="29" t="s">
        <v>206</v>
      </c>
      <c r="D20" s="141" t="s">
        <v>194</v>
      </c>
      <c r="E20" s="15"/>
      <c r="F20" s="15"/>
      <c r="G20" s="15"/>
      <c r="H20" s="14"/>
      <c r="I20" s="26" t="s">
        <v>205</v>
      </c>
      <c r="K20" s="15"/>
      <c r="L20" s="14"/>
      <c r="M20" s="14"/>
      <c r="N20" s="24"/>
    </row>
    <row r="21" spans="1:25" x14ac:dyDescent="0.2">
      <c r="A21" s="17">
        <v>2008</v>
      </c>
      <c r="B21" s="154" t="s">
        <v>289</v>
      </c>
      <c r="C21" s="154" t="s">
        <v>237</v>
      </c>
      <c r="D21" s="19" t="s">
        <v>204</v>
      </c>
      <c r="E21" s="15"/>
      <c r="F21" s="15"/>
      <c r="G21" s="15"/>
      <c r="H21" s="14"/>
      <c r="I21" s="26" t="s">
        <v>203</v>
      </c>
      <c r="K21" s="15"/>
      <c r="L21" s="14"/>
      <c r="M21" s="14"/>
      <c r="N21" s="24"/>
    </row>
    <row r="22" spans="1:25" x14ac:dyDescent="0.2">
      <c r="A22" s="153">
        <v>2009</v>
      </c>
      <c r="B22" s="154" t="s">
        <v>289</v>
      </c>
      <c r="C22" s="154" t="s">
        <v>237</v>
      </c>
      <c r="D22" s="140" t="s">
        <v>202</v>
      </c>
      <c r="E22" s="15"/>
      <c r="F22" s="15"/>
      <c r="G22" s="15"/>
      <c r="H22" s="14"/>
      <c r="I22" s="26"/>
      <c r="J22" s="13"/>
      <c r="K22" s="15"/>
      <c r="L22" s="14"/>
      <c r="M22" s="14"/>
      <c r="N22" s="24"/>
    </row>
    <row r="23" spans="1:25" x14ac:dyDescent="0.2">
      <c r="A23" s="153">
        <v>2010</v>
      </c>
      <c r="B23" s="154" t="s">
        <v>289</v>
      </c>
      <c r="C23" s="154" t="s">
        <v>237</v>
      </c>
      <c r="D23" s="140" t="s">
        <v>201</v>
      </c>
      <c r="E23" s="15"/>
      <c r="F23" s="15"/>
      <c r="G23" s="15"/>
      <c r="H23" s="14"/>
      <c r="I23" s="26" t="s">
        <v>200</v>
      </c>
      <c r="J23" s="13"/>
      <c r="K23" s="15"/>
      <c r="L23" s="14"/>
      <c r="M23" s="14"/>
      <c r="N23" s="24"/>
    </row>
    <row r="24" spans="1:25" x14ac:dyDescent="0.2">
      <c r="A24" s="153">
        <v>2011</v>
      </c>
      <c r="B24" s="154" t="s">
        <v>289</v>
      </c>
      <c r="C24" s="154" t="s">
        <v>237</v>
      </c>
      <c r="D24" s="140" t="s">
        <v>199</v>
      </c>
      <c r="E24" s="15"/>
      <c r="F24" s="15"/>
      <c r="G24" s="15"/>
      <c r="H24" s="14"/>
      <c r="I24" s="25" t="s">
        <v>198</v>
      </c>
      <c r="J24" s="13"/>
      <c r="K24" s="15"/>
      <c r="L24" s="14"/>
      <c r="M24" s="14"/>
      <c r="N24" s="24"/>
    </row>
    <row r="25" spans="1:25" x14ac:dyDescent="0.2">
      <c r="A25" s="153">
        <v>2012</v>
      </c>
      <c r="B25" s="154" t="s">
        <v>289</v>
      </c>
      <c r="C25" s="154" t="s">
        <v>237</v>
      </c>
      <c r="D25" s="140" t="s">
        <v>197</v>
      </c>
      <c r="E25" s="15"/>
      <c r="F25" s="15"/>
      <c r="G25" s="15"/>
      <c r="H25" s="14"/>
      <c r="I25" s="25"/>
      <c r="J25" s="13"/>
      <c r="K25" s="15"/>
      <c r="L25" s="14"/>
      <c r="M25" s="14"/>
      <c r="N25" s="24"/>
    </row>
    <row r="26" spans="1:25" x14ac:dyDescent="0.2">
      <c r="A26" s="153">
        <v>2013</v>
      </c>
      <c r="B26" s="154" t="s">
        <v>289</v>
      </c>
      <c r="C26" s="154" t="s">
        <v>237</v>
      </c>
      <c r="D26" s="140" t="s">
        <v>196</v>
      </c>
      <c r="E26" s="15"/>
      <c r="F26" s="15"/>
      <c r="G26" s="15"/>
      <c r="H26" s="14"/>
      <c r="I26" s="156" t="s">
        <v>195</v>
      </c>
      <c r="J26" s="156"/>
      <c r="K26" s="156"/>
      <c r="L26" s="156"/>
      <c r="M26" s="156"/>
      <c r="N26" s="156"/>
      <c r="O26" s="23"/>
      <c r="P26" s="23"/>
      <c r="Q26" s="23"/>
      <c r="R26" s="23"/>
      <c r="S26" s="23"/>
      <c r="T26" s="23"/>
      <c r="U26" s="23"/>
      <c r="V26" s="23"/>
      <c r="W26" s="23"/>
      <c r="X26" s="23"/>
      <c r="Y26" s="23"/>
    </row>
    <row r="27" spans="1:25" x14ac:dyDescent="0.2">
      <c r="A27" s="153">
        <v>2014</v>
      </c>
      <c r="B27" s="154" t="s">
        <v>289</v>
      </c>
      <c r="C27" s="154" t="s">
        <v>237</v>
      </c>
      <c r="D27" s="140" t="s">
        <v>194</v>
      </c>
      <c r="E27" s="18"/>
      <c r="G27" s="13"/>
      <c r="K27" s="12"/>
    </row>
    <row r="28" spans="1:25" x14ac:dyDescent="0.2">
      <c r="A28" s="153">
        <v>2015</v>
      </c>
      <c r="B28" s="154" t="s">
        <v>289</v>
      </c>
      <c r="C28" s="154" t="s">
        <v>237</v>
      </c>
      <c r="D28" s="140" t="s">
        <v>193</v>
      </c>
      <c r="G28" s="13"/>
      <c r="I28" s="21"/>
      <c r="J28" s="21"/>
      <c r="K28" s="22"/>
      <c r="L28" s="21"/>
      <c r="M28" s="21"/>
      <c r="N28" s="21"/>
      <c r="O28" s="21"/>
      <c r="P28" s="21"/>
      <c r="Q28" s="21"/>
      <c r="R28" s="21"/>
      <c r="S28" s="21"/>
      <c r="T28" s="21"/>
      <c r="U28" s="21"/>
      <c r="V28" s="21"/>
      <c r="W28" s="21"/>
      <c r="X28" s="21"/>
      <c r="Y28" s="21"/>
    </row>
    <row r="29" spans="1:25" x14ac:dyDescent="0.2">
      <c r="A29" s="153">
        <v>2016</v>
      </c>
      <c r="B29" s="154" t="s">
        <v>289</v>
      </c>
      <c r="C29" s="154" t="s">
        <v>237</v>
      </c>
      <c r="D29" s="140" t="s">
        <v>192</v>
      </c>
      <c r="E29" s="15"/>
      <c r="F29" s="15"/>
      <c r="G29" s="15"/>
      <c r="H29" s="14"/>
      <c r="I29" s="18" t="s">
        <v>59</v>
      </c>
    </row>
    <row r="30" spans="1:25" x14ac:dyDescent="0.2">
      <c r="A30" s="153">
        <v>2017</v>
      </c>
      <c r="B30" s="154" t="s">
        <v>289</v>
      </c>
      <c r="C30" s="154" t="s">
        <v>237</v>
      </c>
      <c r="D30" s="140" t="s">
        <v>191</v>
      </c>
      <c r="E30" s="15"/>
      <c r="F30" s="15"/>
      <c r="G30" s="15"/>
      <c r="H30" s="14"/>
      <c r="K30" s="12"/>
    </row>
    <row r="31" spans="1:25" x14ac:dyDescent="0.2">
      <c r="A31" s="153">
        <v>2018</v>
      </c>
      <c r="B31" s="154" t="s">
        <v>289</v>
      </c>
      <c r="C31" s="154" t="s">
        <v>237</v>
      </c>
      <c r="D31" s="140" t="s">
        <v>212</v>
      </c>
      <c r="E31" s="15"/>
      <c r="F31" s="15"/>
      <c r="G31" s="15"/>
      <c r="H31" s="14"/>
      <c r="K31" s="12"/>
    </row>
    <row r="32" spans="1:25" x14ac:dyDescent="0.2">
      <c r="A32" s="153">
        <v>2019</v>
      </c>
      <c r="B32" s="154" t="s">
        <v>289</v>
      </c>
      <c r="C32" s="154" t="s">
        <v>237</v>
      </c>
      <c r="D32" s="140" t="s">
        <v>234</v>
      </c>
      <c r="E32" s="15"/>
      <c r="F32" s="15"/>
      <c r="G32" s="15"/>
      <c r="H32" s="14"/>
      <c r="I32" s="13"/>
      <c r="J32" s="13"/>
      <c r="K32" s="12"/>
      <c r="L32" s="13"/>
    </row>
    <row r="33" spans="1:12" x14ac:dyDescent="0.2">
      <c r="A33" s="153">
        <v>2020</v>
      </c>
      <c r="B33" s="154" t="s">
        <v>289</v>
      </c>
      <c r="C33" s="154" t="s">
        <v>237</v>
      </c>
      <c r="D33" s="140" t="s">
        <v>235</v>
      </c>
      <c r="E33" s="15"/>
      <c r="F33" s="15"/>
      <c r="G33" s="15"/>
      <c r="H33" s="14"/>
      <c r="K33" s="12"/>
      <c r="L33" s="13"/>
    </row>
    <row r="34" spans="1:12" x14ac:dyDescent="0.2">
      <c r="A34" s="153">
        <v>2021</v>
      </c>
      <c r="B34" s="154" t="s">
        <v>289</v>
      </c>
      <c r="C34" s="154" t="s">
        <v>237</v>
      </c>
      <c r="D34" s="140" t="s">
        <v>236</v>
      </c>
      <c r="E34" s="15"/>
      <c r="F34" s="15"/>
      <c r="G34" s="15"/>
      <c r="H34" s="14"/>
      <c r="I34" s="16"/>
      <c r="J34" s="13"/>
      <c r="K34" s="12"/>
      <c r="L34" s="13"/>
    </row>
    <row r="35" spans="1:12" x14ac:dyDescent="0.2">
      <c r="A35" s="153">
        <v>2022</v>
      </c>
      <c r="B35" s="154" t="s">
        <v>289</v>
      </c>
      <c r="C35" s="154" t="s">
        <v>237</v>
      </c>
      <c r="D35" s="140" t="s">
        <v>290</v>
      </c>
      <c r="E35" s="15"/>
      <c r="F35" s="15"/>
      <c r="G35" s="15"/>
      <c r="H35" s="14"/>
      <c r="I35" s="13"/>
      <c r="J35" s="13"/>
      <c r="K35" s="12"/>
      <c r="L35" s="13"/>
    </row>
    <row r="36" spans="1:12" x14ac:dyDescent="0.2">
      <c r="A36" s="153">
        <v>2023</v>
      </c>
      <c r="B36" s="154" t="s">
        <v>289</v>
      </c>
      <c r="C36" s="154" t="s">
        <v>237</v>
      </c>
      <c r="D36" s="140" t="s">
        <v>291</v>
      </c>
      <c r="H36" s="14"/>
      <c r="I36" s="13"/>
      <c r="J36" s="13"/>
      <c r="K36" s="12"/>
      <c r="L36" s="13"/>
    </row>
    <row r="37" spans="1:12" x14ac:dyDescent="0.2">
      <c r="A37" s="153">
        <v>2024</v>
      </c>
      <c r="B37" s="154" t="s">
        <v>289</v>
      </c>
      <c r="C37" s="154" t="s">
        <v>237</v>
      </c>
      <c r="D37" s="140" t="s">
        <v>292</v>
      </c>
      <c r="I37" s="13"/>
      <c r="J37" s="13"/>
      <c r="K37" s="12"/>
      <c r="L37" s="13"/>
    </row>
    <row r="38" spans="1:12" x14ac:dyDescent="0.2">
      <c r="A38" s="153">
        <v>2025</v>
      </c>
      <c r="B38" s="154" t="s">
        <v>289</v>
      </c>
      <c r="C38" s="154" t="s">
        <v>237</v>
      </c>
      <c r="D38" s="140" t="s">
        <v>294</v>
      </c>
      <c r="I38" s="13"/>
      <c r="J38" s="13"/>
      <c r="K38" s="12"/>
      <c r="L38" s="13"/>
    </row>
    <row r="39" spans="1:12" x14ac:dyDescent="0.2">
      <c r="I39" s="13"/>
      <c r="J39" s="13"/>
      <c r="K39" s="12"/>
      <c r="L39" s="13"/>
    </row>
    <row r="40" spans="1:12" x14ac:dyDescent="0.2">
      <c r="I40" s="13"/>
      <c r="J40" s="13"/>
      <c r="K40" s="12"/>
      <c r="L40" s="13"/>
    </row>
    <row r="41" spans="1:12" x14ac:dyDescent="0.2">
      <c r="I41" s="13"/>
      <c r="J41" s="13"/>
      <c r="K41" s="12"/>
      <c r="L41" s="13"/>
    </row>
    <row r="42" spans="1:12" x14ac:dyDescent="0.2">
      <c r="I42" s="13"/>
      <c r="J42" s="13"/>
      <c r="K42" s="12"/>
      <c r="L42" s="13"/>
    </row>
    <row r="43" spans="1:12" x14ac:dyDescent="0.2">
      <c r="I43" s="13"/>
      <c r="J43" s="13"/>
      <c r="K43" s="12"/>
      <c r="L43" s="13"/>
    </row>
    <row r="44" spans="1:12" x14ac:dyDescent="0.2">
      <c r="I44" s="13"/>
      <c r="J44" s="13"/>
      <c r="K44" s="12"/>
      <c r="L44" s="13"/>
    </row>
    <row r="45" spans="1:12" x14ac:dyDescent="0.2">
      <c r="I45" s="13"/>
      <c r="J45" s="13"/>
      <c r="K45" s="12"/>
      <c r="L45" s="13"/>
    </row>
    <row r="46" spans="1:12" x14ac:dyDescent="0.2">
      <c r="I46" s="13"/>
      <c r="J46" s="13"/>
      <c r="K46" s="12"/>
      <c r="L46" s="13"/>
    </row>
    <row r="47" spans="1:12" x14ac:dyDescent="0.2">
      <c r="I47" s="13"/>
      <c r="J47" s="13"/>
      <c r="K47" s="12"/>
      <c r="L47" s="13"/>
    </row>
    <row r="48" spans="1:12" x14ac:dyDescent="0.2">
      <c r="I48" s="13"/>
      <c r="J48" s="13"/>
      <c r="K48" s="12"/>
      <c r="L48" s="13"/>
    </row>
    <row r="49" spans="9:12" x14ac:dyDescent="0.2">
      <c r="I49" s="13"/>
      <c r="J49" s="13"/>
      <c r="K49" s="12"/>
      <c r="L49" s="13"/>
    </row>
    <row r="50" spans="9:12" x14ac:dyDescent="0.2">
      <c r="I50" s="13"/>
      <c r="J50" s="13"/>
      <c r="K50" s="12"/>
      <c r="L50" s="13"/>
    </row>
  </sheetData>
  <mergeCells count="1">
    <mergeCell ref="I26:N26"/>
  </mergeCells>
  <phoneticPr fontId="10" type="noConversion"/>
  <dataValidations count="2">
    <dataValidation type="list" allowBlank="1" showInputMessage="1" showErrorMessage="1" sqref="I8" xr:uid="{00000000-0002-0000-0000-000000000000}">
      <formula1>$A$3:$A$38</formula1>
    </dataValidation>
    <dataValidation type="list" allowBlank="1" showInputMessage="1" showErrorMessage="1" sqref="L8" xr:uid="{A346D3C4-4780-4B50-B672-C3E270FFF807}">
      <formula1>$F$8:$F$10</formula1>
    </dataValidation>
  </dataValidations>
  <hyperlinks>
    <hyperlink ref="I26:J26" r:id="rId1" display="For more information, please click on the link here." xr:uid="{69C1651B-10E7-4C8A-A884-05B95F32EA3E}"/>
    <hyperlink ref="I26:N26" r:id="rId2" display="For more information, please click on the link here." xr:uid="{FC4A2E91-53D3-454E-B68B-1EC637760289}"/>
  </hyperlinks>
  <pageMargins left="0.7" right="0.7" top="0.75" bottom="0.75" header="0.3" footer="0.3"/>
  <pageSetup paperSize="9" orientation="portrait" horizontalDpi="300" verticalDpi="300"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5D0C-FEE5-41AF-A4B9-840369953338}">
  <dimension ref="A1:P49"/>
  <sheetViews>
    <sheetView showGridLines="0" zoomScaleNormal="100" zoomScalePageLayoutView="70" workbookViewId="0">
      <selection sqref="A1:M1"/>
    </sheetView>
  </sheetViews>
  <sheetFormatPr defaultColWidth="9.28515625" defaultRowHeight="12" x14ac:dyDescent="0.2"/>
  <cols>
    <col min="1" max="1" width="10.7109375" style="2" customWidth="1"/>
    <col min="2" max="2" width="32.5703125" style="2" customWidth="1"/>
    <col min="3" max="13" width="9.7109375" style="2" customWidth="1"/>
    <col min="14" max="16" width="8.28515625" style="2" customWidth="1"/>
    <col min="17" max="16384" width="9.28515625" style="2"/>
  </cols>
  <sheetData>
    <row r="1" spans="1:13" ht="15.75" x14ac:dyDescent="0.2">
      <c r="A1" s="157" t="s">
        <v>228</v>
      </c>
      <c r="B1" s="157"/>
      <c r="C1" s="157"/>
      <c r="D1" s="157"/>
      <c r="E1" s="157"/>
      <c r="F1" s="157"/>
      <c r="G1" s="157"/>
      <c r="H1" s="157"/>
      <c r="I1" s="157"/>
      <c r="J1" s="157"/>
      <c r="K1" s="157"/>
      <c r="L1" s="157"/>
      <c r="M1" s="157"/>
    </row>
    <row r="2" spans="1:13" ht="12.75" x14ac:dyDescent="0.2">
      <c r="A2" s="66" t="s">
        <v>229</v>
      </c>
      <c r="B2" s="61"/>
      <c r="C2" s="1"/>
      <c r="D2" s="1"/>
      <c r="E2" s="1"/>
      <c r="F2" s="1"/>
      <c r="G2" s="1"/>
      <c r="H2" s="1"/>
      <c r="I2" s="1"/>
      <c r="J2" s="1"/>
      <c r="K2" s="1"/>
      <c r="L2" s="1"/>
      <c r="M2" s="62" t="s">
        <v>0</v>
      </c>
    </row>
    <row r="3" spans="1:13" ht="30" customHeight="1" x14ac:dyDescent="0.2">
      <c r="A3" s="124" t="s">
        <v>1</v>
      </c>
      <c r="B3" s="123" t="s">
        <v>2</v>
      </c>
      <c r="C3" s="67" t="s">
        <v>180</v>
      </c>
      <c r="D3" s="67" t="s">
        <v>181</v>
      </c>
      <c r="E3" s="67" t="s">
        <v>182</v>
      </c>
      <c r="F3" s="67" t="s">
        <v>183</v>
      </c>
      <c r="G3" s="67" t="s">
        <v>184</v>
      </c>
      <c r="H3" s="67" t="s">
        <v>185</v>
      </c>
      <c r="I3" s="67" t="s">
        <v>186</v>
      </c>
      <c r="J3" s="67" t="s">
        <v>187</v>
      </c>
      <c r="K3" s="67" t="s">
        <v>230</v>
      </c>
      <c r="L3" s="67" t="s">
        <v>188</v>
      </c>
      <c r="M3" s="68" t="s">
        <v>189</v>
      </c>
    </row>
    <row r="4" spans="1:13" s="3" customFormat="1" ht="12.75" x14ac:dyDescent="0.2">
      <c r="A4" s="137"/>
      <c r="B4" s="69" t="s">
        <v>3</v>
      </c>
      <c r="C4" s="70">
        <v>1478.6</v>
      </c>
      <c r="D4" s="71">
        <v>1531</v>
      </c>
      <c r="E4" s="70">
        <v>1571.3</v>
      </c>
      <c r="F4" s="70">
        <v>1642.1</v>
      </c>
      <c r="G4" s="70">
        <v>1714.2</v>
      </c>
      <c r="H4" s="70">
        <v>1823.2</v>
      </c>
      <c r="I4" s="70">
        <v>1925.8</v>
      </c>
      <c r="J4" s="70">
        <v>2046.1</v>
      </c>
      <c r="K4" s="70">
        <v>2022.7</v>
      </c>
      <c r="L4" s="70">
        <v>2062.6</v>
      </c>
      <c r="M4" s="72">
        <v>2171.1</v>
      </c>
    </row>
    <row r="5" spans="1:13" s="3" customFormat="1" ht="12.75" x14ac:dyDescent="0.2">
      <c r="A5" s="137"/>
      <c r="B5" s="73" t="s">
        <v>190</v>
      </c>
      <c r="C5" s="74">
        <v>1419</v>
      </c>
      <c r="D5" s="75">
        <v>1460.4</v>
      </c>
      <c r="E5" s="74">
        <v>1494.4</v>
      </c>
      <c r="F5" s="74">
        <v>1557.6</v>
      </c>
      <c r="G5" s="74">
        <v>1621.6</v>
      </c>
      <c r="H5" s="74">
        <v>1722.7</v>
      </c>
      <c r="I5" s="74">
        <v>1813.7</v>
      </c>
      <c r="J5" s="74">
        <v>1922.9</v>
      </c>
      <c r="K5" s="74">
        <v>1892.4</v>
      </c>
      <c r="L5" s="74">
        <v>1924.1</v>
      </c>
      <c r="M5" s="76">
        <v>2024.7</v>
      </c>
    </row>
    <row r="6" spans="1:13" s="3" customFormat="1" ht="12.75" x14ac:dyDescent="0.2">
      <c r="A6" s="137" t="s">
        <v>4</v>
      </c>
      <c r="B6" s="69" t="s">
        <v>5</v>
      </c>
      <c r="C6" s="70">
        <v>432.5</v>
      </c>
      <c r="D6" s="71">
        <v>433.8</v>
      </c>
      <c r="E6" s="70">
        <v>425.9</v>
      </c>
      <c r="F6" s="70">
        <v>422.7</v>
      </c>
      <c r="G6" s="70">
        <v>434.4</v>
      </c>
      <c r="H6" s="70">
        <v>446.8</v>
      </c>
      <c r="I6" s="70">
        <v>439.1</v>
      </c>
      <c r="J6" s="70">
        <v>442.8</v>
      </c>
      <c r="K6" s="70">
        <v>415.2</v>
      </c>
      <c r="L6" s="70">
        <v>419.7</v>
      </c>
      <c r="M6" s="72">
        <v>445.4</v>
      </c>
    </row>
    <row r="7" spans="1:13" ht="12.75" x14ac:dyDescent="0.2">
      <c r="A7" s="138" t="s">
        <v>6</v>
      </c>
      <c r="B7" s="78" t="s">
        <v>7</v>
      </c>
      <c r="C7" s="79">
        <v>17.5</v>
      </c>
      <c r="D7" s="80">
        <v>17.7</v>
      </c>
      <c r="E7" s="79">
        <v>18.100000000000001</v>
      </c>
      <c r="F7" s="79">
        <v>18.7</v>
      </c>
      <c r="G7" s="79">
        <v>19.3</v>
      </c>
      <c r="H7" s="79">
        <v>19.2</v>
      </c>
      <c r="I7" s="79">
        <v>19.5</v>
      </c>
      <c r="J7" s="79">
        <v>20.7</v>
      </c>
      <c r="K7" s="79">
        <v>21.6</v>
      </c>
      <c r="L7" s="79">
        <v>20.8</v>
      </c>
      <c r="M7" s="81">
        <v>21.3</v>
      </c>
    </row>
    <row r="8" spans="1:13" ht="12.75" x14ac:dyDescent="0.2">
      <c r="A8" s="138" t="s">
        <v>8</v>
      </c>
      <c r="B8" s="78" t="s">
        <v>9</v>
      </c>
      <c r="C8" s="79">
        <v>44.5</v>
      </c>
      <c r="D8" s="80">
        <v>42.2</v>
      </c>
      <c r="E8" s="79">
        <v>38.4</v>
      </c>
      <c r="F8" s="79">
        <v>33.9</v>
      </c>
      <c r="G8" s="79">
        <v>30.2</v>
      </c>
      <c r="H8" s="79">
        <v>25.2</v>
      </c>
      <c r="I8" s="79">
        <v>21.2</v>
      </c>
      <c r="J8" s="79">
        <v>20.100000000000001</v>
      </c>
      <c r="K8" s="79">
        <v>18.5</v>
      </c>
      <c r="L8" s="79">
        <v>18.399999999999999</v>
      </c>
      <c r="M8" s="81">
        <v>17.899999999999999</v>
      </c>
    </row>
    <row r="9" spans="1:13" ht="12.75" x14ac:dyDescent="0.2">
      <c r="A9" s="138" t="s">
        <v>10</v>
      </c>
      <c r="B9" s="78" t="s">
        <v>11</v>
      </c>
      <c r="C9" s="79">
        <v>29.2</v>
      </c>
      <c r="D9" s="80">
        <v>29.9</v>
      </c>
      <c r="E9" s="79">
        <v>29.7</v>
      </c>
      <c r="F9" s="79">
        <v>30.3</v>
      </c>
      <c r="G9" s="79">
        <v>30.8</v>
      </c>
      <c r="H9" s="79">
        <v>30.1</v>
      </c>
      <c r="I9" s="79">
        <v>29.7</v>
      </c>
      <c r="J9" s="79">
        <v>30.1</v>
      </c>
      <c r="K9" s="79">
        <v>29.3</v>
      </c>
      <c r="L9" s="79">
        <v>30</v>
      </c>
      <c r="M9" s="81">
        <v>31.3</v>
      </c>
    </row>
    <row r="10" spans="1:13" ht="25.5" x14ac:dyDescent="0.2">
      <c r="A10" s="135" t="s">
        <v>12</v>
      </c>
      <c r="B10" s="83" t="s">
        <v>13</v>
      </c>
      <c r="C10" s="79">
        <v>30.7</v>
      </c>
      <c r="D10" s="80">
        <v>32.1</v>
      </c>
      <c r="E10" s="79">
        <v>33.200000000000003</v>
      </c>
      <c r="F10" s="79">
        <v>34.5</v>
      </c>
      <c r="G10" s="79">
        <v>36</v>
      </c>
      <c r="H10" s="79">
        <v>37.299999999999997</v>
      </c>
      <c r="I10" s="79">
        <v>37.799999999999997</v>
      </c>
      <c r="J10" s="79">
        <v>38.5</v>
      </c>
      <c r="K10" s="79">
        <v>36.9</v>
      </c>
      <c r="L10" s="79">
        <v>37.9</v>
      </c>
      <c r="M10" s="81">
        <v>41.4</v>
      </c>
    </row>
    <row r="11" spans="1:13" ht="12.75" x14ac:dyDescent="0.2">
      <c r="A11" s="138" t="s">
        <v>14</v>
      </c>
      <c r="B11" s="78" t="s">
        <v>15</v>
      </c>
      <c r="C11" s="79">
        <v>27</v>
      </c>
      <c r="D11" s="79">
        <v>27.1</v>
      </c>
      <c r="E11" s="79">
        <v>25.6</v>
      </c>
      <c r="F11" s="79">
        <v>25.4</v>
      </c>
      <c r="G11" s="79">
        <v>26.1</v>
      </c>
      <c r="H11" s="79">
        <v>27.1</v>
      </c>
      <c r="I11" s="79">
        <v>27.1</v>
      </c>
      <c r="J11" s="79">
        <v>28</v>
      </c>
      <c r="K11" s="79">
        <v>25.1</v>
      </c>
      <c r="L11" s="79">
        <v>25.8</v>
      </c>
      <c r="M11" s="81">
        <v>27.3</v>
      </c>
    </row>
    <row r="12" spans="1:13" ht="12.75" x14ac:dyDescent="0.2">
      <c r="A12" s="138" t="s">
        <v>16</v>
      </c>
      <c r="B12" s="78" t="s">
        <v>17</v>
      </c>
      <c r="C12" s="79">
        <v>41.1</v>
      </c>
      <c r="D12" s="80">
        <v>42.3</v>
      </c>
      <c r="E12" s="79">
        <v>43.9</v>
      </c>
      <c r="F12" s="79">
        <v>44.1</v>
      </c>
      <c r="G12" s="79">
        <v>45.4</v>
      </c>
      <c r="H12" s="79">
        <v>47.2</v>
      </c>
      <c r="I12" s="79">
        <v>47.5</v>
      </c>
      <c r="J12" s="79">
        <v>50.2</v>
      </c>
      <c r="K12" s="79">
        <v>50.2</v>
      </c>
      <c r="L12" s="79">
        <v>53.8</v>
      </c>
      <c r="M12" s="81">
        <v>58.4</v>
      </c>
    </row>
    <row r="13" spans="1:13" ht="12.75" x14ac:dyDescent="0.2">
      <c r="A13" s="138" t="s">
        <v>18</v>
      </c>
      <c r="B13" s="78" t="s">
        <v>19</v>
      </c>
      <c r="C13" s="79">
        <v>19.8</v>
      </c>
      <c r="D13" s="80">
        <v>19.2</v>
      </c>
      <c r="E13" s="79">
        <v>18.2</v>
      </c>
      <c r="F13" s="79">
        <v>17.7</v>
      </c>
      <c r="G13" s="79">
        <v>17.600000000000001</v>
      </c>
      <c r="H13" s="79">
        <v>17.899999999999999</v>
      </c>
      <c r="I13" s="79">
        <v>17</v>
      </c>
      <c r="J13" s="79">
        <v>15.8</v>
      </c>
      <c r="K13" s="79">
        <v>11.7</v>
      </c>
      <c r="L13" s="79">
        <v>10.9</v>
      </c>
      <c r="M13" s="81">
        <v>10.7</v>
      </c>
    </row>
    <row r="14" spans="1:13" ht="12.75" x14ac:dyDescent="0.2">
      <c r="A14" s="138" t="s">
        <v>20</v>
      </c>
      <c r="B14" s="78" t="s">
        <v>21</v>
      </c>
      <c r="C14" s="79">
        <v>134</v>
      </c>
      <c r="D14" s="80">
        <v>128.5</v>
      </c>
      <c r="E14" s="79">
        <v>129.19999999999999</v>
      </c>
      <c r="F14" s="79">
        <v>125.1</v>
      </c>
      <c r="G14" s="79">
        <v>131</v>
      </c>
      <c r="H14" s="79">
        <v>138.5</v>
      </c>
      <c r="I14" s="79">
        <v>134.80000000000001</v>
      </c>
      <c r="J14" s="79">
        <v>135</v>
      </c>
      <c r="K14" s="79">
        <v>116.6</v>
      </c>
      <c r="L14" s="79">
        <v>115.6</v>
      </c>
      <c r="M14" s="81">
        <v>122.4</v>
      </c>
    </row>
    <row r="15" spans="1:13" ht="12.75" x14ac:dyDescent="0.2">
      <c r="A15" s="138" t="s">
        <v>22</v>
      </c>
      <c r="B15" s="78" t="s">
        <v>23</v>
      </c>
      <c r="C15" s="79">
        <v>9.5</v>
      </c>
      <c r="D15" s="80">
        <v>9.1999999999999993</v>
      </c>
      <c r="E15" s="79">
        <v>8.8000000000000007</v>
      </c>
      <c r="F15" s="79">
        <v>11.7</v>
      </c>
      <c r="G15" s="79">
        <v>10.8</v>
      </c>
      <c r="H15" s="79">
        <v>11.1</v>
      </c>
      <c r="I15" s="79">
        <v>10.8</v>
      </c>
      <c r="J15" s="79">
        <v>11.6</v>
      </c>
      <c r="K15" s="79">
        <v>12.6</v>
      </c>
      <c r="L15" s="79">
        <v>13.2</v>
      </c>
      <c r="M15" s="81">
        <v>15.5</v>
      </c>
    </row>
    <row r="16" spans="1:13" ht="12.75" x14ac:dyDescent="0.2">
      <c r="A16" s="138" t="s">
        <v>24</v>
      </c>
      <c r="B16" s="78" t="s">
        <v>25</v>
      </c>
      <c r="C16" s="79">
        <v>42.7</v>
      </c>
      <c r="D16" s="80">
        <v>50</v>
      </c>
      <c r="E16" s="79">
        <v>44.3</v>
      </c>
      <c r="F16" s="79">
        <v>44.9</v>
      </c>
      <c r="G16" s="79">
        <v>50.4</v>
      </c>
      <c r="H16" s="79">
        <v>54.1</v>
      </c>
      <c r="I16" s="79">
        <v>53.9</v>
      </c>
      <c r="J16" s="79">
        <v>55</v>
      </c>
      <c r="K16" s="79">
        <v>59.2</v>
      </c>
      <c r="L16" s="79">
        <v>58.6</v>
      </c>
      <c r="M16" s="81">
        <v>61.6</v>
      </c>
    </row>
    <row r="17" spans="1:13" ht="12.75" x14ac:dyDescent="0.2">
      <c r="A17" s="138"/>
      <c r="B17" s="78" t="s">
        <v>26</v>
      </c>
      <c r="C17" s="79">
        <v>36.4</v>
      </c>
      <c r="D17" s="79">
        <v>35.700000000000003</v>
      </c>
      <c r="E17" s="79">
        <v>36.6</v>
      </c>
      <c r="F17" s="79">
        <v>36.4</v>
      </c>
      <c r="G17" s="79">
        <v>36.5</v>
      </c>
      <c r="H17" s="79">
        <v>39.1</v>
      </c>
      <c r="I17" s="79">
        <v>39.799999999999997</v>
      </c>
      <c r="J17" s="79">
        <v>37.799999999999997</v>
      </c>
      <c r="K17" s="79">
        <v>33.5</v>
      </c>
      <c r="L17" s="79">
        <v>34.700000000000003</v>
      </c>
      <c r="M17" s="81">
        <v>37.6</v>
      </c>
    </row>
    <row r="18" spans="1:13" s="3" customFormat="1" ht="12.75" x14ac:dyDescent="0.2">
      <c r="A18" s="137" t="s">
        <v>27</v>
      </c>
      <c r="B18" s="69" t="s">
        <v>28</v>
      </c>
      <c r="C18" s="70">
        <v>121.6</v>
      </c>
      <c r="D18" s="71">
        <v>139.30000000000001</v>
      </c>
      <c r="E18" s="70">
        <v>150.6</v>
      </c>
      <c r="F18" s="70">
        <v>176.9</v>
      </c>
      <c r="G18" s="70">
        <v>190.1</v>
      </c>
      <c r="H18" s="70">
        <v>230.6</v>
      </c>
      <c r="I18" s="70">
        <v>283.5</v>
      </c>
      <c r="J18" s="70">
        <v>329.3</v>
      </c>
      <c r="K18" s="70">
        <v>324.60000000000002</v>
      </c>
      <c r="L18" s="70">
        <v>306.60000000000002</v>
      </c>
      <c r="M18" s="72">
        <v>307.7</v>
      </c>
    </row>
    <row r="19" spans="1:13" s="3" customFormat="1" ht="12.75" x14ac:dyDescent="0.2">
      <c r="A19" s="137" t="s">
        <v>29</v>
      </c>
      <c r="B19" s="69" t="s">
        <v>30</v>
      </c>
      <c r="C19" s="70">
        <v>916.2</v>
      </c>
      <c r="D19" s="71">
        <v>949.8</v>
      </c>
      <c r="E19" s="70">
        <v>983.8</v>
      </c>
      <c r="F19" s="70">
        <v>1031.2</v>
      </c>
      <c r="G19" s="70">
        <v>1078.5</v>
      </c>
      <c r="H19" s="70">
        <v>1135.3</v>
      </c>
      <c r="I19" s="70">
        <v>1191.5</v>
      </c>
      <c r="J19" s="70">
        <v>1262.3</v>
      </c>
      <c r="K19" s="70">
        <v>1270.9000000000001</v>
      </c>
      <c r="L19" s="70">
        <v>1324.1</v>
      </c>
      <c r="M19" s="72">
        <v>1404.6</v>
      </c>
    </row>
    <row r="20" spans="1:13" s="3" customFormat="1" ht="12.75" x14ac:dyDescent="0.2">
      <c r="A20" s="137"/>
      <c r="B20" s="73" t="s">
        <v>227</v>
      </c>
      <c r="C20" s="74">
        <v>856.6</v>
      </c>
      <c r="D20" s="75">
        <v>879.1</v>
      </c>
      <c r="E20" s="74">
        <v>906.9</v>
      </c>
      <c r="F20" s="74">
        <v>946.7</v>
      </c>
      <c r="G20" s="74">
        <v>986</v>
      </c>
      <c r="H20" s="74">
        <v>1034.8</v>
      </c>
      <c r="I20" s="74">
        <v>1079.4000000000001</v>
      </c>
      <c r="J20" s="74">
        <v>1139.0999999999999</v>
      </c>
      <c r="K20" s="74">
        <v>1140.5999999999999</v>
      </c>
      <c r="L20" s="74">
        <v>1185.7</v>
      </c>
      <c r="M20" s="76">
        <v>1258.3</v>
      </c>
    </row>
    <row r="21" spans="1:13" s="3" customFormat="1" ht="12.75" x14ac:dyDescent="0.2">
      <c r="A21" s="138" t="s">
        <v>31</v>
      </c>
      <c r="B21" s="78" t="s">
        <v>32</v>
      </c>
      <c r="C21" s="79">
        <v>253</v>
      </c>
      <c r="D21" s="80">
        <v>261.7</v>
      </c>
      <c r="E21" s="79">
        <v>269.8</v>
      </c>
      <c r="F21" s="79">
        <v>282.10000000000002</v>
      </c>
      <c r="G21" s="79">
        <v>290.8</v>
      </c>
      <c r="H21" s="79">
        <v>302.2</v>
      </c>
      <c r="I21" s="79">
        <v>307.89999999999998</v>
      </c>
      <c r="J21" s="79">
        <v>315.3</v>
      </c>
      <c r="K21" s="79">
        <v>303.5</v>
      </c>
      <c r="L21" s="79">
        <v>306.89999999999998</v>
      </c>
      <c r="M21" s="81">
        <v>322.2</v>
      </c>
    </row>
    <row r="22" spans="1:13" ht="12.75" x14ac:dyDescent="0.2">
      <c r="A22" s="138" t="s">
        <v>33</v>
      </c>
      <c r="B22" s="78" t="s">
        <v>34</v>
      </c>
      <c r="C22" s="79">
        <v>130.80000000000001</v>
      </c>
      <c r="D22" s="80">
        <v>138.9</v>
      </c>
      <c r="E22" s="79">
        <v>144.6</v>
      </c>
      <c r="F22" s="79">
        <v>152</v>
      </c>
      <c r="G22" s="79">
        <v>160.9</v>
      </c>
      <c r="H22" s="79">
        <v>171.4</v>
      </c>
      <c r="I22" s="79">
        <v>176.7</v>
      </c>
      <c r="J22" s="79">
        <v>180.7</v>
      </c>
      <c r="K22" s="79">
        <v>172.8</v>
      </c>
      <c r="L22" s="79">
        <v>174.8</v>
      </c>
      <c r="M22" s="81">
        <v>186.4</v>
      </c>
    </row>
    <row r="23" spans="1:13" ht="12.75" x14ac:dyDescent="0.2">
      <c r="A23" s="138" t="s">
        <v>35</v>
      </c>
      <c r="B23" s="78" t="s">
        <v>36</v>
      </c>
      <c r="C23" s="79">
        <v>122.2</v>
      </c>
      <c r="D23" s="80">
        <v>122.9</v>
      </c>
      <c r="E23" s="79">
        <v>125.2</v>
      </c>
      <c r="F23" s="79">
        <v>130.1</v>
      </c>
      <c r="G23" s="79">
        <v>129.9</v>
      </c>
      <c r="H23" s="79">
        <v>130.69999999999999</v>
      </c>
      <c r="I23" s="79">
        <v>131.19999999999999</v>
      </c>
      <c r="J23" s="79">
        <v>134.69999999999999</v>
      </c>
      <c r="K23" s="79">
        <v>130.6</v>
      </c>
      <c r="L23" s="79">
        <v>132.19999999999999</v>
      </c>
      <c r="M23" s="81">
        <v>135.80000000000001</v>
      </c>
    </row>
    <row r="24" spans="1:13" s="3" customFormat="1" ht="12.75" x14ac:dyDescent="0.2">
      <c r="A24" s="138" t="s">
        <v>37</v>
      </c>
      <c r="B24" s="78" t="s">
        <v>38</v>
      </c>
      <c r="C24" s="79">
        <v>97.6</v>
      </c>
      <c r="D24" s="80">
        <v>96.8</v>
      </c>
      <c r="E24" s="79">
        <v>97.9</v>
      </c>
      <c r="F24" s="79">
        <v>100.5</v>
      </c>
      <c r="G24" s="79">
        <v>105.2</v>
      </c>
      <c r="H24" s="79">
        <v>107.9</v>
      </c>
      <c r="I24" s="79">
        <v>111.1</v>
      </c>
      <c r="J24" s="79">
        <v>116.3</v>
      </c>
      <c r="K24" s="79">
        <v>114.7</v>
      </c>
      <c r="L24" s="79">
        <v>116.1</v>
      </c>
      <c r="M24" s="81">
        <v>119.6</v>
      </c>
    </row>
    <row r="25" spans="1:13" s="3" customFormat="1" ht="12.75" x14ac:dyDescent="0.2">
      <c r="A25" s="138" t="s">
        <v>39</v>
      </c>
      <c r="B25" s="78" t="s">
        <v>40</v>
      </c>
      <c r="C25" s="79">
        <v>133</v>
      </c>
      <c r="D25" s="80">
        <v>136.30000000000001</v>
      </c>
      <c r="E25" s="79">
        <v>142.4</v>
      </c>
      <c r="F25" s="79">
        <v>147.19999999999999</v>
      </c>
      <c r="G25" s="79">
        <v>149.80000000000001</v>
      </c>
      <c r="H25" s="79">
        <v>159.1</v>
      </c>
      <c r="I25" s="79">
        <v>165.3</v>
      </c>
      <c r="J25" s="79">
        <v>171.5</v>
      </c>
      <c r="K25" s="79">
        <v>171</v>
      </c>
      <c r="L25" s="79">
        <v>175.5</v>
      </c>
      <c r="M25" s="81">
        <v>185.9</v>
      </c>
    </row>
    <row r="26" spans="1:13" s="3" customFormat="1" ht="12.75" x14ac:dyDescent="0.2">
      <c r="A26" s="138" t="s">
        <v>41</v>
      </c>
      <c r="B26" s="78" t="s">
        <v>42</v>
      </c>
      <c r="C26" s="79">
        <v>58.8</v>
      </c>
      <c r="D26" s="80">
        <v>60.2</v>
      </c>
      <c r="E26" s="79">
        <v>62</v>
      </c>
      <c r="F26" s="79">
        <v>66.8</v>
      </c>
      <c r="G26" s="79">
        <v>71.900000000000006</v>
      </c>
      <c r="H26" s="79">
        <v>76.7</v>
      </c>
      <c r="I26" s="79">
        <v>82.1</v>
      </c>
      <c r="J26" s="79">
        <v>90.2</v>
      </c>
      <c r="K26" s="79">
        <v>88.2</v>
      </c>
      <c r="L26" s="79">
        <v>92.8</v>
      </c>
      <c r="M26" s="81">
        <v>101</v>
      </c>
    </row>
    <row r="27" spans="1:13" ht="12.75" x14ac:dyDescent="0.2">
      <c r="A27" s="138" t="s">
        <v>43</v>
      </c>
      <c r="B27" s="78" t="s">
        <v>44</v>
      </c>
      <c r="C27" s="79">
        <v>50.3</v>
      </c>
      <c r="D27" s="80">
        <v>51.4</v>
      </c>
      <c r="E27" s="79">
        <v>52.4</v>
      </c>
      <c r="F27" s="79">
        <v>56.7</v>
      </c>
      <c r="G27" s="79">
        <v>61.1</v>
      </c>
      <c r="H27" s="79">
        <v>65.2</v>
      </c>
      <c r="I27" s="79">
        <v>69.7</v>
      </c>
      <c r="J27" s="79">
        <v>76.599999999999994</v>
      </c>
      <c r="K27" s="79">
        <v>74.400000000000006</v>
      </c>
      <c r="L27" s="79">
        <v>77.599999999999994</v>
      </c>
      <c r="M27" s="81">
        <v>85.3</v>
      </c>
    </row>
    <row r="28" spans="1:13" ht="12.75" x14ac:dyDescent="0.2">
      <c r="A28" s="138" t="s">
        <v>45</v>
      </c>
      <c r="B28" s="78" t="s">
        <v>46</v>
      </c>
      <c r="C28" s="79">
        <v>8.5</v>
      </c>
      <c r="D28" s="80">
        <v>8.8000000000000007</v>
      </c>
      <c r="E28" s="79">
        <v>9.6</v>
      </c>
      <c r="F28" s="79">
        <v>10.199999999999999</v>
      </c>
      <c r="G28" s="79">
        <v>10.8</v>
      </c>
      <c r="H28" s="79">
        <v>11.6</v>
      </c>
      <c r="I28" s="79">
        <v>12.4</v>
      </c>
      <c r="J28" s="79">
        <v>13.6</v>
      </c>
      <c r="K28" s="79">
        <v>13.8</v>
      </c>
      <c r="L28" s="79">
        <v>15.2</v>
      </c>
      <c r="M28" s="81">
        <v>15.7</v>
      </c>
    </row>
    <row r="29" spans="1:13" s="3" customFormat="1" ht="12.75" x14ac:dyDescent="0.2">
      <c r="A29" s="138" t="s">
        <v>47</v>
      </c>
      <c r="B29" s="78" t="s">
        <v>48</v>
      </c>
      <c r="C29" s="79">
        <v>114</v>
      </c>
      <c r="D29" s="80">
        <v>118</v>
      </c>
      <c r="E29" s="79">
        <v>124.6</v>
      </c>
      <c r="F29" s="79">
        <v>131.9</v>
      </c>
      <c r="G29" s="79">
        <v>142.80000000000001</v>
      </c>
      <c r="H29" s="79">
        <v>156</v>
      </c>
      <c r="I29" s="79">
        <v>169</v>
      </c>
      <c r="J29" s="79">
        <v>187</v>
      </c>
      <c r="K29" s="79">
        <v>195.5</v>
      </c>
      <c r="L29" s="79">
        <v>212.9</v>
      </c>
      <c r="M29" s="81">
        <v>235.9</v>
      </c>
    </row>
    <row r="30" spans="1:13" s="3" customFormat="1" ht="25.5" x14ac:dyDescent="0.2">
      <c r="A30" s="138" t="s">
        <v>49</v>
      </c>
      <c r="B30" s="77" t="s">
        <v>50</v>
      </c>
      <c r="C30" s="79">
        <v>259.89999999999998</v>
      </c>
      <c r="D30" s="80">
        <v>276.7</v>
      </c>
      <c r="E30" s="79">
        <v>287.10000000000002</v>
      </c>
      <c r="F30" s="79">
        <v>302.60000000000002</v>
      </c>
      <c r="G30" s="79">
        <v>318</v>
      </c>
      <c r="H30" s="79">
        <v>333.3</v>
      </c>
      <c r="I30" s="79">
        <v>356.1</v>
      </c>
      <c r="J30" s="79">
        <v>382</v>
      </c>
      <c r="K30" s="79">
        <v>398.2</v>
      </c>
      <c r="L30" s="79">
        <v>419.9</v>
      </c>
      <c r="M30" s="81">
        <v>440.1</v>
      </c>
    </row>
    <row r="31" spans="1:13" s="3" customFormat="1" ht="12.75" x14ac:dyDescent="0.2">
      <c r="A31" s="135" t="s">
        <v>51</v>
      </c>
      <c r="B31" s="83" t="s">
        <v>52</v>
      </c>
      <c r="C31" s="79">
        <v>105</v>
      </c>
      <c r="D31" s="80">
        <v>106.3</v>
      </c>
      <c r="E31" s="79">
        <v>107.8</v>
      </c>
      <c r="F31" s="79">
        <v>109.8</v>
      </c>
      <c r="G31" s="79">
        <v>110.4</v>
      </c>
      <c r="H31" s="79">
        <v>114.1</v>
      </c>
      <c r="I31" s="79">
        <v>119.7</v>
      </c>
      <c r="J31" s="79">
        <v>126.2</v>
      </c>
      <c r="K31" s="79">
        <v>132.80000000000001</v>
      </c>
      <c r="L31" s="79">
        <v>138.69999999999999</v>
      </c>
      <c r="M31" s="81">
        <v>143.69999999999999</v>
      </c>
    </row>
    <row r="32" spans="1:13" s="3" customFormat="1" ht="12.75" x14ac:dyDescent="0.2">
      <c r="A32" s="135" t="s">
        <v>285</v>
      </c>
      <c r="B32" s="83" t="s">
        <v>280</v>
      </c>
      <c r="C32" s="79" t="s">
        <v>287</v>
      </c>
      <c r="D32" s="79" t="s">
        <v>287</v>
      </c>
      <c r="E32" s="79" t="s">
        <v>287</v>
      </c>
      <c r="F32" s="79" t="s">
        <v>287</v>
      </c>
      <c r="G32" s="79" t="s">
        <v>287</v>
      </c>
      <c r="H32" s="79" t="s">
        <v>287</v>
      </c>
      <c r="I32" s="79" t="s">
        <v>287</v>
      </c>
      <c r="J32" s="79" t="s">
        <v>287</v>
      </c>
      <c r="K32" s="79" t="s">
        <v>287</v>
      </c>
      <c r="L32" s="79">
        <v>78.400000000000006</v>
      </c>
      <c r="M32" s="147">
        <v>79.8</v>
      </c>
    </row>
    <row r="33" spans="1:16" s="3" customFormat="1" ht="12.75" x14ac:dyDescent="0.2">
      <c r="A33" s="135" t="s">
        <v>286</v>
      </c>
      <c r="B33" s="83" t="s">
        <v>282</v>
      </c>
      <c r="C33" s="79" t="s">
        <v>287</v>
      </c>
      <c r="D33" s="79" t="s">
        <v>287</v>
      </c>
      <c r="E33" s="79" t="s">
        <v>287</v>
      </c>
      <c r="F33" s="79" t="s">
        <v>287</v>
      </c>
      <c r="G33" s="79" t="s">
        <v>287</v>
      </c>
      <c r="H33" s="79" t="s">
        <v>287</v>
      </c>
      <c r="I33" s="79" t="s">
        <v>287</v>
      </c>
      <c r="J33" s="79" t="s">
        <v>287</v>
      </c>
      <c r="K33" s="79" t="s">
        <v>287</v>
      </c>
      <c r="L33" s="79">
        <v>60.3</v>
      </c>
      <c r="M33" s="147">
        <v>64</v>
      </c>
    </row>
    <row r="34" spans="1:16" s="3" customFormat="1" ht="12.75" x14ac:dyDescent="0.2">
      <c r="A34" s="135" t="s">
        <v>53</v>
      </c>
      <c r="B34" s="83" t="s">
        <v>54</v>
      </c>
      <c r="C34" s="79">
        <v>34.9</v>
      </c>
      <c r="D34" s="80">
        <v>35.200000000000003</v>
      </c>
      <c r="E34" s="79">
        <v>38.4</v>
      </c>
      <c r="F34" s="79">
        <v>41</v>
      </c>
      <c r="G34" s="79">
        <v>42.9</v>
      </c>
      <c r="H34" s="79">
        <v>45.7</v>
      </c>
      <c r="I34" s="79">
        <v>49.1</v>
      </c>
      <c r="J34" s="79">
        <v>52.7</v>
      </c>
      <c r="K34" s="79">
        <v>49.5</v>
      </c>
      <c r="L34" s="79">
        <v>52.7</v>
      </c>
      <c r="M34" s="81">
        <v>55.8</v>
      </c>
    </row>
    <row r="35" spans="1:16" ht="25.5" x14ac:dyDescent="0.2">
      <c r="A35" s="135" t="s">
        <v>55</v>
      </c>
      <c r="B35" s="83" t="s">
        <v>56</v>
      </c>
      <c r="C35" s="79">
        <v>120</v>
      </c>
      <c r="D35" s="80">
        <v>135.19999999999999</v>
      </c>
      <c r="E35" s="79">
        <v>140.9</v>
      </c>
      <c r="F35" s="79">
        <v>151.9</v>
      </c>
      <c r="G35" s="79">
        <v>164.7</v>
      </c>
      <c r="H35" s="79">
        <v>173.5</v>
      </c>
      <c r="I35" s="79">
        <v>187.3</v>
      </c>
      <c r="J35" s="79">
        <v>203.2</v>
      </c>
      <c r="K35" s="79">
        <v>215.9</v>
      </c>
      <c r="L35" s="79">
        <v>228.5</v>
      </c>
      <c r="M35" s="81">
        <v>240.5</v>
      </c>
    </row>
    <row r="36" spans="1:16" s="3" customFormat="1" ht="12.75" x14ac:dyDescent="0.2">
      <c r="A36" s="139" t="s">
        <v>57</v>
      </c>
      <c r="B36" s="84" t="s">
        <v>58</v>
      </c>
      <c r="C36" s="85">
        <v>8.1999999999999993</v>
      </c>
      <c r="D36" s="86">
        <v>8.1</v>
      </c>
      <c r="E36" s="85">
        <v>11</v>
      </c>
      <c r="F36" s="85">
        <v>11.2</v>
      </c>
      <c r="G36" s="85">
        <v>11.2</v>
      </c>
      <c r="H36" s="85">
        <v>10.5</v>
      </c>
      <c r="I36" s="85">
        <v>11.7</v>
      </c>
      <c r="J36" s="85">
        <v>11.7</v>
      </c>
      <c r="K36" s="85">
        <v>12</v>
      </c>
      <c r="L36" s="85">
        <v>12.2</v>
      </c>
      <c r="M36" s="87">
        <v>13.3</v>
      </c>
    </row>
    <row r="37" spans="1:16" x14ac:dyDescent="0.2">
      <c r="A37" s="63"/>
      <c r="B37" s="64"/>
      <c r="C37" s="65"/>
      <c r="D37" s="65"/>
      <c r="E37" s="65"/>
      <c r="F37" s="65"/>
      <c r="G37" s="65"/>
      <c r="H37" s="65"/>
      <c r="I37" s="65"/>
      <c r="J37" s="65"/>
      <c r="K37" s="65"/>
      <c r="L37" s="65"/>
      <c r="M37" s="65" t="s">
        <v>59</v>
      </c>
    </row>
    <row r="38" spans="1:16" x14ac:dyDescent="0.2">
      <c r="A38" s="63" t="s">
        <v>288</v>
      </c>
      <c r="B38" s="64"/>
      <c r="C38" s="65"/>
      <c r="D38" s="65"/>
      <c r="E38" s="65"/>
      <c r="F38" s="65"/>
      <c r="G38" s="65"/>
      <c r="H38" s="65"/>
      <c r="I38" s="65"/>
      <c r="J38" s="65"/>
      <c r="K38" s="65"/>
      <c r="L38" s="65"/>
      <c r="M38" s="65"/>
    </row>
    <row r="39" spans="1:16" x14ac:dyDescent="0.2">
      <c r="A39" s="88" t="s">
        <v>60</v>
      </c>
      <c r="B39" s="88"/>
      <c r="C39" s="88"/>
      <c r="D39" s="88"/>
      <c r="E39" s="88"/>
      <c r="F39" s="88"/>
      <c r="G39" s="88"/>
      <c r="H39" s="88"/>
      <c r="I39" s="88"/>
      <c r="J39" s="88"/>
      <c r="K39" s="88"/>
      <c r="L39" s="88"/>
      <c r="M39" s="88"/>
    </row>
    <row r="40" spans="1:16" ht="12.75" customHeight="1" x14ac:dyDescent="0.2">
      <c r="A40" s="160" t="s">
        <v>61</v>
      </c>
      <c r="B40" s="160"/>
      <c r="C40" s="160"/>
      <c r="D40" s="160"/>
      <c r="E40" s="160"/>
      <c r="F40" s="160"/>
      <c r="G40" s="160"/>
      <c r="H40" s="160"/>
      <c r="I40" s="160"/>
      <c r="J40" s="160"/>
      <c r="K40" s="160"/>
      <c r="L40" s="160"/>
      <c r="M40" s="160"/>
    </row>
    <row r="41" spans="1:16" ht="12" customHeight="1" x14ac:dyDescent="0.2">
      <c r="A41" s="161" t="s">
        <v>176</v>
      </c>
      <c r="B41" s="161"/>
      <c r="C41" s="161"/>
      <c r="D41" s="161"/>
      <c r="E41" s="161"/>
      <c r="F41" s="161"/>
      <c r="G41" s="161"/>
      <c r="H41" s="161"/>
      <c r="I41" s="161"/>
      <c r="J41" s="161"/>
      <c r="K41" s="161"/>
      <c r="L41" s="161"/>
      <c r="M41" s="161"/>
    </row>
    <row r="42" spans="1:16" s="3" customFormat="1" ht="12" customHeight="1" x14ac:dyDescent="0.2">
      <c r="A42" s="159" t="s">
        <v>177</v>
      </c>
      <c r="B42" s="159"/>
      <c r="C42" s="159"/>
      <c r="D42" s="159"/>
      <c r="E42" s="159"/>
      <c r="F42" s="159"/>
      <c r="G42" s="159"/>
      <c r="H42" s="159"/>
      <c r="I42" s="159"/>
      <c r="J42" s="159"/>
      <c r="K42" s="159"/>
      <c r="L42" s="159"/>
      <c r="M42" s="159"/>
      <c r="N42" s="2"/>
      <c r="O42" s="2"/>
      <c r="P42" s="2"/>
    </row>
    <row r="43" spans="1:16" s="3" customFormat="1" x14ac:dyDescent="0.2">
      <c r="A43" s="159" t="s">
        <v>178</v>
      </c>
      <c r="B43" s="159"/>
      <c r="C43" s="159"/>
      <c r="D43" s="159"/>
      <c r="E43" s="159"/>
      <c r="F43" s="159"/>
      <c r="G43" s="159"/>
      <c r="H43" s="159"/>
      <c r="I43" s="159"/>
      <c r="J43" s="159"/>
      <c r="K43" s="159"/>
      <c r="L43" s="159"/>
      <c r="M43" s="159"/>
      <c r="N43" s="158"/>
      <c r="O43" s="158"/>
      <c r="P43" s="158"/>
    </row>
    <row r="44" spans="1:16" ht="12.75" customHeight="1" x14ac:dyDescent="0.2">
      <c r="A44" s="89" t="s">
        <v>231</v>
      </c>
    </row>
    <row r="45" spans="1:16" ht="12.75" customHeight="1" x14ac:dyDescent="0.2"/>
    <row r="46" spans="1:16" ht="12.75" customHeight="1" x14ac:dyDescent="0.2"/>
    <row r="48" spans="1:16" ht="12.75" customHeight="1" x14ac:dyDescent="0.2"/>
    <row r="49" ht="12.75" customHeight="1" x14ac:dyDescent="0.2"/>
  </sheetData>
  <mergeCells count="6">
    <mergeCell ref="A1:M1"/>
    <mergeCell ref="N43:P43"/>
    <mergeCell ref="A42:M42"/>
    <mergeCell ref="A43:M43"/>
    <mergeCell ref="A40:M40"/>
    <mergeCell ref="A41:M41"/>
  </mergeCells>
  <phoneticPr fontId="10" type="noConversion"/>
  <hyperlinks>
    <hyperlink ref="A2" location="Contents!A1" display="Contents!A1" xr:uid="{F61F1293-407D-4478-8E30-799AA4372C86}"/>
  </hyperlinks>
  <pageMargins left="0.19685039370078741" right="0" top="0.39370078740157483" bottom="0.39370078740157483" header="0.19685039370078741" footer="0.19685039370078741"/>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2BE1-D20D-4A96-B725-2F353087DE91}">
  <dimension ref="A1:O107"/>
  <sheetViews>
    <sheetView showGridLines="0" zoomScaleNormal="100" zoomScaleSheetLayoutView="55" workbookViewId="0">
      <selection sqref="A1:I1"/>
    </sheetView>
  </sheetViews>
  <sheetFormatPr defaultColWidth="9.28515625" defaultRowHeight="12" x14ac:dyDescent="0.2"/>
  <cols>
    <col min="1" max="1" width="10.7109375" style="2" customWidth="1"/>
    <col min="2" max="2" width="32.5703125" style="2" customWidth="1"/>
    <col min="3" max="9" width="9.7109375" style="2" customWidth="1"/>
    <col min="10" max="10" width="3.5703125" style="2" customWidth="1"/>
    <col min="11" max="13" width="8.28515625" style="2" customWidth="1"/>
    <col min="14" max="16384" width="9.28515625" style="2"/>
  </cols>
  <sheetData>
    <row r="1" spans="1:10" ht="15" customHeight="1" x14ac:dyDescent="0.2">
      <c r="A1" s="157" t="s">
        <v>232</v>
      </c>
      <c r="B1" s="157"/>
      <c r="C1" s="157"/>
      <c r="D1" s="157"/>
      <c r="E1" s="157"/>
      <c r="F1" s="157"/>
      <c r="G1" s="157"/>
      <c r="H1" s="157"/>
      <c r="I1" s="157"/>
    </row>
    <row r="2" spans="1:10" ht="12.75" x14ac:dyDescent="0.2">
      <c r="A2" s="92" t="s">
        <v>229</v>
      </c>
      <c r="B2" s="61"/>
      <c r="I2" s="90" t="s">
        <v>0</v>
      </c>
    </row>
    <row r="3" spans="1:10" ht="30" customHeight="1" x14ac:dyDescent="0.2">
      <c r="A3" s="129" t="s">
        <v>62</v>
      </c>
      <c r="B3" s="146" t="s">
        <v>2</v>
      </c>
      <c r="C3" s="93">
        <v>37226</v>
      </c>
      <c r="D3" s="93">
        <v>37591</v>
      </c>
      <c r="E3" s="93">
        <v>37956</v>
      </c>
      <c r="F3" s="93">
        <v>38322</v>
      </c>
      <c r="G3" s="93">
        <v>38687</v>
      </c>
      <c r="H3" s="93">
        <v>39052</v>
      </c>
      <c r="I3" s="94">
        <v>39417</v>
      </c>
      <c r="J3" s="4"/>
    </row>
    <row r="4" spans="1:10" ht="12.75" x14ac:dyDescent="0.2">
      <c r="A4" s="130"/>
      <c r="B4" s="112" t="s">
        <v>3</v>
      </c>
      <c r="C4" s="113">
        <v>2171</v>
      </c>
      <c r="D4" s="113">
        <v>2148.1</v>
      </c>
      <c r="E4" s="113">
        <v>2135.1999999999998</v>
      </c>
      <c r="F4" s="113">
        <v>2206.6</v>
      </c>
      <c r="G4" s="113">
        <v>2319.9</v>
      </c>
      <c r="H4" s="113">
        <v>2495.9</v>
      </c>
      <c r="I4" s="114">
        <v>2730.8</v>
      </c>
      <c r="J4" s="5"/>
    </row>
    <row r="5" spans="1:10" ht="12.75" x14ac:dyDescent="0.2">
      <c r="A5" s="130"/>
      <c r="B5" s="98" t="s">
        <v>143</v>
      </c>
      <c r="C5" s="115">
        <v>2019.5</v>
      </c>
      <c r="D5" s="115">
        <v>1996</v>
      </c>
      <c r="E5" s="115">
        <v>1984.3</v>
      </c>
      <c r="F5" s="115">
        <v>2050.6999999999998</v>
      </c>
      <c r="G5" s="115">
        <v>2156.1999999999998</v>
      </c>
      <c r="H5" s="115">
        <v>2324.1</v>
      </c>
      <c r="I5" s="116">
        <v>2547.6</v>
      </c>
      <c r="J5" s="5"/>
    </row>
    <row r="6" spans="1:10" ht="12.75" x14ac:dyDescent="0.2">
      <c r="A6" s="131" t="s">
        <v>63</v>
      </c>
      <c r="B6" s="111" t="s">
        <v>64</v>
      </c>
      <c r="C6" s="113">
        <v>430.1</v>
      </c>
      <c r="D6" s="113">
        <v>424.7</v>
      </c>
      <c r="E6" s="113">
        <v>419.7</v>
      </c>
      <c r="F6" s="113">
        <v>446.7</v>
      </c>
      <c r="G6" s="113">
        <v>475.9</v>
      </c>
      <c r="H6" s="113">
        <v>517.5</v>
      </c>
      <c r="I6" s="102">
        <v>566.79999999999995</v>
      </c>
      <c r="J6" s="5"/>
    </row>
    <row r="7" spans="1:10" ht="12.75" x14ac:dyDescent="0.2">
      <c r="A7" s="132" t="s">
        <v>65</v>
      </c>
      <c r="B7" s="117" t="s">
        <v>66</v>
      </c>
      <c r="C7" s="118">
        <v>23</v>
      </c>
      <c r="D7" s="118">
        <v>24.1</v>
      </c>
      <c r="E7" s="118">
        <v>24.4</v>
      </c>
      <c r="F7" s="118">
        <v>25.3</v>
      </c>
      <c r="G7" s="118">
        <v>27.9</v>
      </c>
      <c r="H7" s="118">
        <v>30.1</v>
      </c>
      <c r="I7" s="119">
        <v>33.299999999999997</v>
      </c>
      <c r="J7" s="6"/>
    </row>
    <row r="8" spans="1:10" ht="12.75" x14ac:dyDescent="0.2">
      <c r="A8" s="132" t="s">
        <v>67</v>
      </c>
      <c r="B8" s="117" t="s">
        <v>68</v>
      </c>
      <c r="C8" s="118">
        <v>25.6</v>
      </c>
      <c r="D8" s="118">
        <v>25</v>
      </c>
      <c r="E8" s="105">
        <v>24.7</v>
      </c>
      <c r="F8" s="118">
        <v>25.1</v>
      </c>
      <c r="G8" s="118">
        <v>26.1</v>
      </c>
      <c r="H8" s="118">
        <v>26.8</v>
      </c>
      <c r="I8" s="119">
        <v>26.9</v>
      </c>
      <c r="J8" s="6"/>
    </row>
    <row r="9" spans="1:10" ht="25.5" x14ac:dyDescent="0.2">
      <c r="A9" s="132" t="s">
        <v>69</v>
      </c>
      <c r="B9" s="117" t="s">
        <v>70</v>
      </c>
      <c r="C9" s="118">
        <v>22</v>
      </c>
      <c r="D9" s="118">
        <v>22.8</v>
      </c>
      <c r="E9" s="105">
        <v>27</v>
      </c>
      <c r="F9" s="118">
        <v>28.2</v>
      </c>
      <c r="G9" s="118">
        <v>29.8</v>
      </c>
      <c r="H9" s="118">
        <v>33.299999999999997</v>
      </c>
      <c r="I9" s="119">
        <v>38.9</v>
      </c>
      <c r="J9" s="6"/>
    </row>
    <row r="10" spans="1:10" ht="12.75" x14ac:dyDescent="0.2">
      <c r="A10" s="132" t="s">
        <v>71</v>
      </c>
      <c r="B10" s="117" t="s">
        <v>72</v>
      </c>
      <c r="C10" s="118">
        <v>18.399999999999999</v>
      </c>
      <c r="D10" s="105">
        <v>17.3</v>
      </c>
      <c r="E10" s="118">
        <v>18.2</v>
      </c>
      <c r="F10" s="118">
        <v>18.5</v>
      </c>
      <c r="G10" s="118">
        <v>17.600000000000001</v>
      </c>
      <c r="H10" s="118">
        <v>17.7</v>
      </c>
      <c r="I10" s="119">
        <v>18.2</v>
      </c>
      <c r="J10" s="7"/>
    </row>
    <row r="11" spans="1:10" ht="12.75" x14ac:dyDescent="0.2">
      <c r="A11" s="132" t="s">
        <v>73</v>
      </c>
      <c r="B11" s="117" t="s">
        <v>74</v>
      </c>
      <c r="C11" s="118">
        <v>25.5</v>
      </c>
      <c r="D11" s="118">
        <v>24.6</v>
      </c>
      <c r="E11" s="118">
        <v>24.7</v>
      </c>
      <c r="F11" s="118">
        <v>25.7</v>
      </c>
      <c r="G11" s="105">
        <v>27.2</v>
      </c>
      <c r="H11" s="118">
        <v>29.2</v>
      </c>
      <c r="I11" s="104">
        <v>31.1</v>
      </c>
      <c r="J11" s="6"/>
    </row>
    <row r="12" spans="1:10" ht="12.75" x14ac:dyDescent="0.2">
      <c r="A12" s="132" t="s">
        <v>75</v>
      </c>
      <c r="B12" s="117" t="s">
        <v>76</v>
      </c>
      <c r="C12" s="118">
        <v>52.4</v>
      </c>
      <c r="D12" s="118">
        <v>52.3</v>
      </c>
      <c r="E12" s="118">
        <v>53</v>
      </c>
      <c r="F12" s="118">
        <v>58.4</v>
      </c>
      <c r="G12" s="118">
        <v>63.6</v>
      </c>
      <c r="H12" s="118">
        <v>70</v>
      </c>
      <c r="I12" s="119">
        <v>74.400000000000006</v>
      </c>
      <c r="J12" s="6"/>
    </row>
    <row r="13" spans="1:10" ht="12.75" x14ac:dyDescent="0.2">
      <c r="A13" s="132" t="s">
        <v>77</v>
      </c>
      <c r="B13" s="117" t="s">
        <v>78</v>
      </c>
      <c r="C13" s="118">
        <v>11.5</v>
      </c>
      <c r="D13" s="118">
        <v>10.3</v>
      </c>
      <c r="E13" s="118">
        <v>9.9</v>
      </c>
      <c r="F13" s="118">
        <v>9.6999999999999993</v>
      </c>
      <c r="G13" s="118">
        <v>9.6999999999999993</v>
      </c>
      <c r="H13" s="118">
        <v>10.5</v>
      </c>
      <c r="I13" s="119">
        <v>10.8</v>
      </c>
      <c r="J13" s="6"/>
    </row>
    <row r="14" spans="1:10" ht="12.75" x14ac:dyDescent="0.2">
      <c r="A14" s="132" t="s">
        <v>79</v>
      </c>
      <c r="B14" s="117" t="s">
        <v>80</v>
      </c>
      <c r="C14" s="118">
        <v>105.1</v>
      </c>
      <c r="D14" s="118">
        <v>100.1</v>
      </c>
      <c r="E14" s="118">
        <v>97.3</v>
      </c>
      <c r="F14" s="118">
        <v>105.1</v>
      </c>
      <c r="G14" s="118">
        <v>107.8</v>
      </c>
      <c r="H14" s="118">
        <v>111.1</v>
      </c>
      <c r="I14" s="119">
        <v>110.5</v>
      </c>
      <c r="J14" s="6"/>
    </row>
    <row r="15" spans="1:10" ht="12.75" x14ac:dyDescent="0.2">
      <c r="A15" s="132" t="s">
        <v>81</v>
      </c>
      <c r="B15" s="117" t="s">
        <v>82</v>
      </c>
      <c r="C15" s="118">
        <v>15.4</v>
      </c>
      <c r="D15" s="105">
        <v>15.7</v>
      </c>
      <c r="E15" s="118">
        <v>14.7</v>
      </c>
      <c r="F15" s="118">
        <v>15.9</v>
      </c>
      <c r="G15" s="118">
        <v>16.5</v>
      </c>
      <c r="H15" s="105">
        <v>15.2</v>
      </c>
      <c r="I15" s="104">
        <v>15.6</v>
      </c>
      <c r="J15" s="6"/>
    </row>
    <row r="16" spans="1:10" ht="12.75" x14ac:dyDescent="0.2">
      <c r="A16" s="132" t="s">
        <v>83</v>
      </c>
      <c r="B16" s="117" t="s">
        <v>84</v>
      </c>
      <c r="C16" s="118">
        <v>78.900000000000006</v>
      </c>
      <c r="D16" s="118">
        <v>83.2</v>
      </c>
      <c r="E16" s="118">
        <v>78</v>
      </c>
      <c r="F16" s="118">
        <v>86.3</v>
      </c>
      <c r="G16" s="118">
        <v>100.5</v>
      </c>
      <c r="H16" s="118">
        <v>122.3</v>
      </c>
      <c r="I16" s="119">
        <v>152.4</v>
      </c>
      <c r="J16" s="6"/>
    </row>
    <row r="17" spans="1:10" ht="12.75" x14ac:dyDescent="0.2">
      <c r="A17" s="132"/>
      <c r="B17" s="117" t="s">
        <v>26</v>
      </c>
      <c r="C17" s="118">
        <v>52.2</v>
      </c>
      <c r="D17" s="118">
        <v>49.1</v>
      </c>
      <c r="E17" s="118">
        <v>47.9</v>
      </c>
      <c r="F17" s="118">
        <v>48.5</v>
      </c>
      <c r="G17" s="105">
        <v>49.2</v>
      </c>
      <c r="H17" s="118">
        <v>51.3</v>
      </c>
      <c r="I17" s="119">
        <v>54.7</v>
      </c>
      <c r="J17" s="6"/>
    </row>
    <row r="18" spans="1:10" ht="12.75" x14ac:dyDescent="0.2">
      <c r="A18" s="131" t="s">
        <v>85</v>
      </c>
      <c r="B18" s="111" t="s">
        <v>86</v>
      </c>
      <c r="C18" s="113">
        <v>287.2</v>
      </c>
      <c r="D18" s="113">
        <v>252.9</v>
      </c>
      <c r="E18" s="113">
        <v>235.4</v>
      </c>
      <c r="F18" s="113">
        <v>226.3</v>
      </c>
      <c r="G18" s="113">
        <v>235</v>
      </c>
      <c r="H18" s="113">
        <v>255.5</v>
      </c>
      <c r="I18" s="114">
        <v>295.89999999999998</v>
      </c>
      <c r="J18" s="5"/>
    </row>
    <row r="19" spans="1:10" ht="12.75" x14ac:dyDescent="0.2">
      <c r="A19" s="131" t="s">
        <v>87</v>
      </c>
      <c r="B19" s="111" t="s">
        <v>30</v>
      </c>
      <c r="C19" s="113">
        <v>1438.8</v>
      </c>
      <c r="D19" s="113">
        <v>1455.3</v>
      </c>
      <c r="E19" s="113">
        <v>1465.2</v>
      </c>
      <c r="F19" s="113">
        <v>1520.1</v>
      </c>
      <c r="G19" s="113">
        <v>1593.8</v>
      </c>
      <c r="H19" s="113">
        <v>1706.5</v>
      </c>
      <c r="I19" s="114">
        <v>1849.6</v>
      </c>
      <c r="J19" s="5"/>
    </row>
    <row r="20" spans="1:10" ht="12.75" x14ac:dyDescent="0.2">
      <c r="A20" s="131"/>
      <c r="B20" s="98" t="s">
        <v>227</v>
      </c>
      <c r="C20" s="115">
        <v>1287.4000000000001</v>
      </c>
      <c r="D20" s="115">
        <v>1303.0999999999999</v>
      </c>
      <c r="E20" s="115">
        <v>1314.3</v>
      </c>
      <c r="F20" s="115">
        <v>1364.1</v>
      </c>
      <c r="G20" s="115">
        <v>1430.1</v>
      </c>
      <c r="H20" s="115">
        <v>1534.7</v>
      </c>
      <c r="I20" s="116">
        <v>1666.4</v>
      </c>
      <c r="J20" s="5"/>
    </row>
    <row r="21" spans="1:10" ht="12.75" x14ac:dyDescent="0.2">
      <c r="A21" s="132" t="s">
        <v>88</v>
      </c>
      <c r="B21" s="117" t="s">
        <v>32</v>
      </c>
      <c r="C21" s="118">
        <v>325.2</v>
      </c>
      <c r="D21" s="118">
        <v>325.10000000000002</v>
      </c>
      <c r="E21" s="118">
        <v>322.8</v>
      </c>
      <c r="F21" s="118">
        <v>333.8</v>
      </c>
      <c r="G21" s="118">
        <v>346.4</v>
      </c>
      <c r="H21" s="118">
        <v>365</v>
      </c>
      <c r="I21" s="119">
        <v>384.9</v>
      </c>
      <c r="J21" s="6"/>
    </row>
    <row r="22" spans="1:10" ht="12.75" x14ac:dyDescent="0.2">
      <c r="A22" s="132" t="s">
        <v>89</v>
      </c>
      <c r="B22" s="117" t="s">
        <v>90</v>
      </c>
      <c r="C22" s="118">
        <v>190.3</v>
      </c>
      <c r="D22" s="118">
        <v>189.9</v>
      </c>
      <c r="E22" s="118">
        <v>187.9</v>
      </c>
      <c r="F22" s="118">
        <v>196.2</v>
      </c>
      <c r="G22" s="118">
        <v>203.8</v>
      </c>
      <c r="H22" s="118">
        <v>219.1</v>
      </c>
      <c r="I22" s="119">
        <v>237.2</v>
      </c>
      <c r="J22" s="6"/>
    </row>
    <row r="23" spans="1:10" ht="12.75" x14ac:dyDescent="0.2">
      <c r="A23" s="132" t="s">
        <v>91</v>
      </c>
      <c r="B23" s="117" t="s">
        <v>92</v>
      </c>
      <c r="C23" s="118">
        <v>134.9</v>
      </c>
      <c r="D23" s="118">
        <v>135.19999999999999</v>
      </c>
      <c r="E23" s="118">
        <v>134.9</v>
      </c>
      <c r="F23" s="118">
        <v>137.6</v>
      </c>
      <c r="G23" s="118">
        <v>142.69999999999999</v>
      </c>
      <c r="H23" s="118">
        <v>145.9</v>
      </c>
      <c r="I23" s="119">
        <v>147.6</v>
      </c>
      <c r="J23" s="6"/>
    </row>
    <row r="24" spans="1:10" ht="12.75" x14ac:dyDescent="0.2">
      <c r="A24" s="132" t="s">
        <v>93</v>
      </c>
      <c r="B24" s="117" t="s">
        <v>94</v>
      </c>
      <c r="C24" s="118">
        <v>161</v>
      </c>
      <c r="D24" s="118">
        <v>164.5</v>
      </c>
      <c r="E24" s="118">
        <v>163.9</v>
      </c>
      <c r="F24" s="118">
        <v>166.6</v>
      </c>
      <c r="G24" s="118">
        <v>173</v>
      </c>
      <c r="H24" s="118">
        <v>179</v>
      </c>
      <c r="I24" s="119">
        <v>184</v>
      </c>
      <c r="J24" s="6"/>
    </row>
    <row r="25" spans="1:10" ht="12.75" x14ac:dyDescent="0.2">
      <c r="A25" s="132" t="s">
        <v>95</v>
      </c>
      <c r="B25" s="117" t="s">
        <v>96</v>
      </c>
      <c r="C25" s="118">
        <v>64.2</v>
      </c>
      <c r="D25" s="118">
        <v>67</v>
      </c>
      <c r="E25" s="118">
        <v>65.099999999999994</v>
      </c>
      <c r="F25" s="118">
        <v>66.099999999999994</v>
      </c>
      <c r="G25" s="118">
        <v>67.599999999999994</v>
      </c>
      <c r="H25" s="118">
        <v>69.2</v>
      </c>
      <c r="I25" s="119">
        <v>72.099999999999994</v>
      </c>
      <c r="J25" s="6"/>
    </row>
    <row r="26" spans="1:10" ht="12.75" x14ac:dyDescent="0.2">
      <c r="A26" s="132" t="s">
        <v>97</v>
      </c>
      <c r="B26" s="117" t="s">
        <v>98</v>
      </c>
      <c r="C26" s="118">
        <v>32.6</v>
      </c>
      <c r="D26" s="118">
        <v>32.799999999999997</v>
      </c>
      <c r="E26" s="118">
        <v>33.5</v>
      </c>
      <c r="F26" s="105">
        <v>34</v>
      </c>
      <c r="G26" s="118">
        <v>36.700000000000003</v>
      </c>
      <c r="H26" s="118">
        <v>38.200000000000003</v>
      </c>
      <c r="I26" s="119">
        <v>43.6</v>
      </c>
      <c r="J26" s="6"/>
    </row>
    <row r="27" spans="1:10" ht="12.75" x14ac:dyDescent="0.2">
      <c r="A27" s="132" t="s">
        <v>99</v>
      </c>
      <c r="B27" s="117" t="s">
        <v>100</v>
      </c>
      <c r="C27" s="118">
        <v>29.8</v>
      </c>
      <c r="D27" s="105">
        <v>30</v>
      </c>
      <c r="E27" s="118">
        <v>28.8</v>
      </c>
      <c r="F27" s="118">
        <v>28.2</v>
      </c>
      <c r="G27" s="118">
        <v>27.6</v>
      </c>
      <c r="H27" s="118">
        <v>28.5</v>
      </c>
      <c r="I27" s="119">
        <v>23.8</v>
      </c>
      <c r="J27" s="6"/>
    </row>
    <row r="28" spans="1:10" ht="12.75" x14ac:dyDescent="0.2">
      <c r="A28" s="132"/>
      <c r="B28" s="117" t="s">
        <v>101</v>
      </c>
      <c r="C28" s="118">
        <v>34.4</v>
      </c>
      <c r="D28" s="118">
        <v>34.700000000000003</v>
      </c>
      <c r="E28" s="118">
        <v>36.4</v>
      </c>
      <c r="F28" s="118">
        <v>38.200000000000003</v>
      </c>
      <c r="G28" s="118">
        <v>41.2</v>
      </c>
      <c r="H28" s="118">
        <v>43.1</v>
      </c>
      <c r="I28" s="119">
        <v>44.5</v>
      </c>
      <c r="J28" s="6"/>
    </row>
    <row r="29" spans="1:10" ht="12.75" x14ac:dyDescent="0.2">
      <c r="A29" s="132" t="s">
        <v>102</v>
      </c>
      <c r="B29" s="117" t="s">
        <v>103</v>
      </c>
      <c r="C29" s="118">
        <v>118.1</v>
      </c>
      <c r="D29" s="118">
        <v>121.4</v>
      </c>
      <c r="E29" s="118">
        <v>123.3</v>
      </c>
      <c r="F29" s="118">
        <v>127.5</v>
      </c>
      <c r="G29" s="118">
        <v>133.19999999999999</v>
      </c>
      <c r="H29" s="118">
        <v>145.80000000000001</v>
      </c>
      <c r="I29" s="119">
        <v>162.1</v>
      </c>
      <c r="J29" s="6"/>
    </row>
    <row r="30" spans="1:10" ht="12.75" x14ac:dyDescent="0.2">
      <c r="A30" s="132" t="s">
        <v>104</v>
      </c>
      <c r="B30" s="117" t="s">
        <v>105</v>
      </c>
      <c r="C30" s="118">
        <v>27.5</v>
      </c>
      <c r="D30" s="118">
        <v>26.4</v>
      </c>
      <c r="E30" s="118">
        <v>25.3</v>
      </c>
      <c r="F30" s="118">
        <v>25.1</v>
      </c>
      <c r="G30" s="118">
        <v>25.8</v>
      </c>
      <c r="H30" s="118">
        <v>26.3</v>
      </c>
      <c r="I30" s="119">
        <v>26.9</v>
      </c>
      <c r="J30" s="6"/>
    </row>
    <row r="31" spans="1:10" ht="12.75" x14ac:dyDescent="0.2">
      <c r="A31" s="132" t="s">
        <v>106</v>
      </c>
      <c r="B31" s="117" t="s">
        <v>107</v>
      </c>
      <c r="C31" s="118">
        <v>90.6</v>
      </c>
      <c r="D31" s="118">
        <v>95</v>
      </c>
      <c r="E31" s="118">
        <v>98</v>
      </c>
      <c r="F31" s="118">
        <v>102.3</v>
      </c>
      <c r="G31" s="118">
        <v>107.3</v>
      </c>
      <c r="H31" s="118">
        <v>119.5</v>
      </c>
      <c r="I31" s="119">
        <v>135.1</v>
      </c>
      <c r="J31" s="6"/>
    </row>
    <row r="32" spans="1:10" ht="12.75" x14ac:dyDescent="0.2">
      <c r="A32" s="132" t="s">
        <v>108</v>
      </c>
      <c r="B32" s="117" t="s">
        <v>109</v>
      </c>
      <c r="C32" s="118">
        <v>64.8</v>
      </c>
      <c r="D32" s="118">
        <v>62.7</v>
      </c>
      <c r="E32" s="118">
        <v>60.2</v>
      </c>
      <c r="F32" s="118">
        <v>63</v>
      </c>
      <c r="G32" s="118">
        <v>66.599999999999994</v>
      </c>
      <c r="H32" s="118">
        <v>73.099999999999994</v>
      </c>
      <c r="I32" s="119">
        <v>79.400000000000006</v>
      </c>
      <c r="J32" s="6"/>
    </row>
    <row r="33" spans="1:10" ht="12.75" x14ac:dyDescent="0.2">
      <c r="A33" s="132" t="s">
        <v>110</v>
      </c>
      <c r="B33" s="117" t="s">
        <v>111</v>
      </c>
      <c r="C33" s="118">
        <v>14.9</v>
      </c>
      <c r="D33" s="118">
        <v>14</v>
      </c>
      <c r="E33" s="118">
        <v>12.5</v>
      </c>
      <c r="F33" s="118">
        <v>13.2</v>
      </c>
      <c r="G33" s="118">
        <v>13.4</v>
      </c>
      <c r="H33" s="118">
        <v>13.9</v>
      </c>
      <c r="I33" s="119">
        <v>14.5</v>
      </c>
      <c r="J33" s="7"/>
    </row>
    <row r="34" spans="1:10" ht="12.75" x14ac:dyDescent="0.2">
      <c r="A34" s="133" t="s">
        <v>112</v>
      </c>
      <c r="B34" s="117" t="s">
        <v>113</v>
      </c>
      <c r="C34" s="118">
        <v>18.8</v>
      </c>
      <c r="D34" s="118">
        <v>18.600000000000001</v>
      </c>
      <c r="E34" s="118">
        <v>18.100000000000001</v>
      </c>
      <c r="F34" s="118">
        <v>18</v>
      </c>
      <c r="G34" s="118">
        <v>17.5</v>
      </c>
      <c r="H34" s="105">
        <v>17.7</v>
      </c>
      <c r="I34" s="104">
        <v>18.2</v>
      </c>
      <c r="J34" s="7"/>
    </row>
    <row r="35" spans="1:10" ht="12.75" x14ac:dyDescent="0.2">
      <c r="A35" s="133" t="s">
        <v>114</v>
      </c>
      <c r="B35" s="117" t="s">
        <v>115</v>
      </c>
      <c r="C35" s="118">
        <v>31.1</v>
      </c>
      <c r="D35" s="118">
        <v>30</v>
      </c>
      <c r="E35" s="118">
        <v>29.5</v>
      </c>
      <c r="F35" s="118">
        <v>31.8</v>
      </c>
      <c r="G35" s="118">
        <v>35.700000000000003</v>
      </c>
      <c r="H35" s="118">
        <v>41.5</v>
      </c>
      <c r="I35" s="119">
        <v>46.7</v>
      </c>
      <c r="J35" s="6"/>
    </row>
    <row r="36" spans="1:10" ht="12.75" x14ac:dyDescent="0.2">
      <c r="A36" s="133" t="s">
        <v>116</v>
      </c>
      <c r="B36" s="117" t="s">
        <v>42</v>
      </c>
      <c r="C36" s="118">
        <v>101.9</v>
      </c>
      <c r="D36" s="118">
        <v>99.9</v>
      </c>
      <c r="E36" s="118">
        <v>102.1</v>
      </c>
      <c r="F36" s="105">
        <v>108.2</v>
      </c>
      <c r="G36" s="118">
        <v>116</v>
      </c>
      <c r="H36" s="118">
        <v>127.3</v>
      </c>
      <c r="I36" s="119">
        <v>149.1</v>
      </c>
      <c r="J36" s="6"/>
    </row>
    <row r="37" spans="1:10" ht="12.75" x14ac:dyDescent="0.2">
      <c r="A37" s="134" t="s">
        <v>117</v>
      </c>
      <c r="B37" s="117" t="s">
        <v>118</v>
      </c>
      <c r="C37" s="118">
        <v>85.3</v>
      </c>
      <c r="D37" s="118">
        <v>82.3</v>
      </c>
      <c r="E37" s="118">
        <v>83.8</v>
      </c>
      <c r="F37" s="118">
        <v>88.6</v>
      </c>
      <c r="G37" s="118">
        <v>94.8</v>
      </c>
      <c r="H37" s="118">
        <v>104.4</v>
      </c>
      <c r="I37" s="119">
        <v>125.3</v>
      </c>
      <c r="J37" s="6"/>
    </row>
    <row r="38" spans="1:10" ht="12.75" x14ac:dyDescent="0.2">
      <c r="A38" s="132" t="s">
        <v>119</v>
      </c>
      <c r="B38" s="117" t="s">
        <v>120</v>
      </c>
      <c r="C38" s="118">
        <v>16.600000000000001</v>
      </c>
      <c r="D38" s="118">
        <v>17.600000000000001</v>
      </c>
      <c r="E38" s="118">
        <v>18.3</v>
      </c>
      <c r="F38" s="118">
        <v>19.600000000000001</v>
      </c>
      <c r="G38" s="118">
        <v>21.2</v>
      </c>
      <c r="H38" s="118">
        <v>22.8</v>
      </c>
      <c r="I38" s="119">
        <v>23.8</v>
      </c>
      <c r="J38" s="6"/>
    </row>
    <row r="39" spans="1:10" ht="12.75" x14ac:dyDescent="0.2">
      <c r="A39" s="133" t="s">
        <v>121</v>
      </c>
      <c r="B39" s="117" t="s">
        <v>122</v>
      </c>
      <c r="C39" s="105">
        <v>46.5</v>
      </c>
      <c r="D39" s="118">
        <v>46.9</v>
      </c>
      <c r="E39" s="118">
        <v>46.1</v>
      </c>
      <c r="F39" s="118">
        <v>45.9</v>
      </c>
      <c r="G39" s="118">
        <v>48.4</v>
      </c>
      <c r="H39" s="118">
        <v>52.9</v>
      </c>
      <c r="I39" s="119">
        <v>61.4</v>
      </c>
      <c r="J39" s="6"/>
    </row>
    <row r="40" spans="1:10" ht="12.75" x14ac:dyDescent="0.2">
      <c r="A40" s="133" t="s">
        <v>123</v>
      </c>
      <c r="B40" s="117" t="s">
        <v>124</v>
      </c>
      <c r="C40" s="118">
        <v>106.1</v>
      </c>
      <c r="D40" s="118">
        <v>102.4</v>
      </c>
      <c r="E40" s="118">
        <v>102.3</v>
      </c>
      <c r="F40" s="118">
        <v>106.9</v>
      </c>
      <c r="G40" s="118">
        <v>114.6</v>
      </c>
      <c r="H40" s="118">
        <v>128.4</v>
      </c>
      <c r="I40" s="119">
        <v>150.5</v>
      </c>
      <c r="J40" s="6"/>
    </row>
    <row r="41" spans="1:10" ht="12.75" customHeight="1" x14ac:dyDescent="0.2">
      <c r="A41" s="133" t="s">
        <v>125</v>
      </c>
      <c r="B41" s="117" t="s">
        <v>126</v>
      </c>
      <c r="C41" s="118">
        <v>56.6</v>
      </c>
      <c r="D41" s="118">
        <v>55.4</v>
      </c>
      <c r="E41" s="118">
        <v>56</v>
      </c>
      <c r="F41" s="118">
        <v>58.9</v>
      </c>
      <c r="G41" s="105">
        <v>62.3</v>
      </c>
      <c r="H41" s="118">
        <v>68.099999999999994</v>
      </c>
      <c r="I41" s="119">
        <v>78</v>
      </c>
      <c r="J41" s="6"/>
    </row>
    <row r="42" spans="1:10" ht="12.75" x14ac:dyDescent="0.2">
      <c r="A42" s="132" t="s">
        <v>127</v>
      </c>
      <c r="B42" s="117" t="s">
        <v>128</v>
      </c>
      <c r="C42" s="118">
        <v>29.8</v>
      </c>
      <c r="D42" s="118">
        <v>27.9</v>
      </c>
      <c r="E42" s="118">
        <v>26.8</v>
      </c>
      <c r="F42" s="118">
        <v>27.2</v>
      </c>
      <c r="G42" s="118">
        <v>29.1</v>
      </c>
      <c r="H42" s="118">
        <v>33.9</v>
      </c>
      <c r="I42" s="119">
        <v>40.299999999999997</v>
      </c>
      <c r="J42" s="6"/>
    </row>
    <row r="43" spans="1:10" ht="12.75" x14ac:dyDescent="0.2">
      <c r="A43" s="132" t="s">
        <v>129</v>
      </c>
      <c r="B43" s="117" t="s">
        <v>130</v>
      </c>
      <c r="C43" s="118">
        <v>19.8</v>
      </c>
      <c r="D43" s="118">
        <v>19.100000000000001</v>
      </c>
      <c r="E43" s="118">
        <v>19.5</v>
      </c>
      <c r="F43" s="118">
        <v>20.9</v>
      </c>
      <c r="G43" s="118">
        <v>23.1</v>
      </c>
      <c r="H43" s="118">
        <v>26.3</v>
      </c>
      <c r="I43" s="119">
        <v>32.200000000000003</v>
      </c>
      <c r="J43" s="6"/>
    </row>
    <row r="44" spans="1:10" ht="12.75" x14ac:dyDescent="0.2">
      <c r="A44" s="132" t="s">
        <v>131</v>
      </c>
      <c r="B44" s="117" t="s">
        <v>132</v>
      </c>
      <c r="C44" s="118">
        <v>66.599999999999994</v>
      </c>
      <c r="D44" s="118">
        <v>71.5</v>
      </c>
      <c r="E44" s="118">
        <v>76.400000000000006</v>
      </c>
      <c r="F44" s="118">
        <v>87.3</v>
      </c>
      <c r="G44" s="118">
        <v>97.4</v>
      </c>
      <c r="H44" s="118">
        <v>113.2</v>
      </c>
      <c r="I44" s="119">
        <v>124.1</v>
      </c>
      <c r="J44" s="6"/>
    </row>
    <row r="45" spans="1:10" ht="12.75" x14ac:dyDescent="0.2">
      <c r="A45" s="132" t="s">
        <v>133</v>
      </c>
      <c r="B45" s="117" t="s">
        <v>134</v>
      </c>
      <c r="C45" s="118">
        <v>448.6</v>
      </c>
      <c r="D45" s="118">
        <v>461</v>
      </c>
      <c r="E45" s="118">
        <v>468.1</v>
      </c>
      <c r="F45" s="118">
        <v>480.8</v>
      </c>
      <c r="G45" s="118">
        <v>498.3</v>
      </c>
      <c r="H45" s="118">
        <v>522</v>
      </c>
      <c r="I45" s="119">
        <v>554.1</v>
      </c>
      <c r="J45" s="6"/>
    </row>
    <row r="46" spans="1:10" ht="12.75" x14ac:dyDescent="0.2">
      <c r="A46" s="132" t="s">
        <v>135</v>
      </c>
      <c r="B46" s="83" t="s">
        <v>52</v>
      </c>
      <c r="C46" s="118">
        <v>152.30000000000001</v>
      </c>
      <c r="D46" s="105">
        <v>156.5</v>
      </c>
      <c r="E46" s="118">
        <v>160.80000000000001</v>
      </c>
      <c r="F46" s="118">
        <v>162.1</v>
      </c>
      <c r="G46" s="118">
        <v>166.3</v>
      </c>
      <c r="H46" s="118">
        <v>172.3</v>
      </c>
      <c r="I46" s="119">
        <v>178.6</v>
      </c>
      <c r="J46" s="6"/>
    </row>
    <row r="47" spans="1:10" ht="12.75" x14ac:dyDescent="0.2">
      <c r="A47" s="132" t="s">
        <v>283</v>
      </c>
      <c r="B47" s="117" t="s">
        <v>282</v>
      </c>
      <c r="C47" s="118">
        <v>42.7</v>
      </c>
      <c r="D47" s="105">
        <v>44</v>
      </c>
      <c r="E47" s="118">
        <v>46.1</v>
      </c>
      <c r="F47" s="118">
        <v>47.3</v>
      </c>
      <c r="G47" s="118">
        <v>50.5</v>
      </c>
      <c r="H47" s="118">
        <v>55.1</v>
      </c>
      <c r="I47" s="119">
        <v>60.8</v>
      </c>
      <c r="J47" s="6"/>
    </row>
    <row r="48" spans="1:10" ht="12.75" x14ac:dyDescent="0.2">
      <c r="A48" s="132" t="s">
        <v>284</v>
      </c>
      <c r="B48" s="117" t="s">
        <v>280</v>
      </c>
      <c r="C48" s="118">
        <v>109.6</v>
      </c>
      <c r="D48" s="105">
        <v>112.5</v>
      </c>
      <c r="E48" s="118">
        <v>114.7</v>
      </c>
      <c r="F48" s="118">
        <v>114.8</v>
      </c>
      <c r="G48" s="118">
        <v>115.8</v>
      </c>
      <c r="H48" s="118">
        <v>117.2</v>
      </c>
      <c r="I48" s="119">
        <v>117.8</v>
      </c>
      <c r="J48" s="6"/>
    </row>
    <row r="49" spans="1:15" ht="12.75" x14ac:dyDescent="0.2">
      <c r="A49" s="132" t="s">
        <v>136</v>
      </c>
      <c r="B49" s="117" t="s">
        <v>137</v>
      </c>
      <c r="C49" s="118">
        <v>58.4</v>
      </c>
      <c r="D49" s="118">
        <v>60.4</v>
      </c>
      <c r="E49" s="118">
        <v>62.1</v>
      </c>
      <c r="F49" s="118">
        <v>64</v>
      </c>
      <c r="G49" s="118">
        <v>65.400000000000006</v>
      </c>
      <c r="H49" s="118">
        <v>68.400000000000006</v>
      </c>
      <c r="I49" s="119">
        <v>74</v>
      </c>
      <c r="J49" s="6"/>
    </row>
    <row r="50" spans="1:15" ht="25.5" x14ac:dyDescent="0.2">
      <c r="A50" s="135" t="s">
        <v>138</v>
      </c>
      <c r="B50" s="106" t="s">
        <v>139</v>
      </c>
      <c r="C50" s="118">
        <v>237.9</v>
      </c>
      <c r="D50" s="118">
        <v>244.1</v>
      </c>
      <c r="E50" s="118">
        <v>245.2</v>
      </c>
      <c r="F50" s="118">
        <v>254.8</v>
      </c>
      <c r="G50" s="118">
        <v>266.7</v>
      </c>
      <c r="H50" s="118">
        <v>281.3</v>
      </c>
      <c r="I50" s="119">
        <v>301.60000000000002</v>
      </c>
      <c r="J50" s="6"/>
    </row>
    <row r="51" spans="1:15" ht="12.75" x14ac:dyDescent="0.2">
      <c r="A51" s="136" t="s">
        <v>140</v>
      </c>
      <c r="B51" s="120" t="s">
        <v>141</v>
      </c>
      <c r="C51" s="110">
        <v>14.9</v>
      </c>
      <c r="D51" s="121">
        <v>15.3</v>
      </c>
      <c r="E51" s="110">
        <v>14.9</v>
      </c>
      <c r="F51" s="121">
        <v>13.5</v>
      </c>
      <c r="G51" s="121">
        <v>15.2</v>
      </c>
      <c r="H51" s="121">
        <v>16.399999999999999</v>
      </c>
      <c r="I51" s="122">
        <v>18.5</v>
      </c>
      <c r="J51" s="5"/>
    </row>
    <row r="52" spans="1:15" x14ac:dyDescent="0.2">
      <c r="A52" s="63"/>
      <c r="D52" s="8"/>
      <c r="E52" s="8"/>
      <c r="F52" s="8"/>
      <c r="G52" s="8"/>
      <c r="H52" s="8"/>
      <c r="I52" s="91" t="s">
        <v>59</v>
      </c>
      <c r="J52" s="8"/>
    </row>
    <row r="53" spans="1:15" x14ac:dyDescent="0.2">
      <c r="A53" s="159" t="s">
        <v>60</v>
      </c>
      <c r="B53" s="159"/>
      <c r="C53" s="159"/>
      <c r="D53" s="159"/>
      <c r="E53" s="159"/>
      <c r="F53" s="159"/>
      <c r="G53" s="159"/>
      <c r="H53" s="159"/>
      <c r="I53" s="159"/>
    </row>
    <row r="54" spans="1:15" x14ac:dyDescent="0.2">
      <c r="A54" s="162" t="s">
        <v>61</v>
      </c>
      <c r="B54" s="162"/>
      <c r="C54" s="162"/>
      <c r="D54" s="162"/>
      <c r="E54" s="162"/>
      <c r="F54" s="162"/>
      <c r="G54" s="162"/>
      <c r="H54" s="162"/>
      <c r="I54" s="162"/>
      <c r="N54" s="9"/>
      <c r="O54" s="9"/>
    </row>
    <row r="55" spans="1:15" x14ac:dyDescent="0.2">
      <c r="A55" s="161" t="s">
        <v>176</v>
      </c>
      <c r="B55" s="161"/>
      <c r="C55" s="161"/>
      <c r="D55" s="161"/>
      <c r="E55" s="161"/>
      <c r="F55" s="161"/>
      <c r="G55" s="161"/>
      <c r="H55" s="161"/>
      <c r="I55" s="161"/>
      <c r="J55" s="10"/>
    </row>
    <row r="56" spans="1:15" x14ac:dyDescent="0.2">
      <c r="A56" s="159" t="s">
        <v>179</v>
      </c>
      <c r="B56" s="159"/>
      <c r="C56" s="159"/>
      <c r="D56" s="159"/>
      <c r="E56" s="159"/>
      <c r="F56" s="159"/>
      <c r="G56" s="159"/>
      <c r="H56" s="159"/>
      <c r="I56" s="159"/>
      <c r="J56" s="10"/>
    </row>
    <row r="57" spans="1:15" x14ac:dyDescent="0.2">
      <c r="A57" s="159" t="s">
        <v>178</v>
      </c>
      <c r="B57" s="159"/>
      <c r="C57" s="159"/>
      <c r="D57" s="159"/>
      <c r="E57" s="159"/>
      <c r="F57" s="159"/>
      <c r="G57" s="159"/>
      <c r="H57" s="159"/>
      <c r="I57" s="159"/>
      <c r="J57" s="10"/>
    </row>
    <row r="58" spans="1:15" x14ac:dyDescent="0.2">
      <c r="D58" s="10"/>
      <c r="E58" s="10"/>
      <c r="F58" s="10"/>
      <c r="G58" s="10"/>
      <c r="H58" s="10"/>
      <c r="I58" s="10"/>
      <c r="J58" s="10"/>
    </row>
    <row r="59" spans="1:15" x14ac:dyDescent="0.2">
      <c r="B59" s="11"/>
      <c r="C59" s="10"/>
      <c r="D59" s="10"/>
      <c r="E59" s="10"/>
      <c r="F59" s="10"/>
      <c r="G59" s="10"/>
      <c r="H59" s="10"/>
      <c r="I59" s="10"/>
      <c r="J59" s="10"/>
    </row>
    <row r="60" spans="1:15" x14ac:dyDescent="0.2">
      <c r="C60" s="10"/>
      <c r="D60" s="10"/>
      <c r="E60" s="10"/>
      <c r="F60" s="10"/>
      <c r="G60" s="10"/>
      <c r="H60" s="10"/>
      <c r="I60" s="10"/>
      <c r="J60" s="10"/>
    </row>
    <row r="61" spans="1:15" x14ac:dyDescent="0.2">
      <c r="C61" s="10"/>
      <c r="D61" s="10"/>
      <c r="E61" s="10"/>
      <c r="F61" s="10"/>
      <c r="G61" s="10"/>
      <c r="H61" s="10"/>
      <c r="I61" s="10"/>
      <c r="J61" s="10"/>
    </row>
    <row r="62" spans="1:15" x14ac:dyDescent="0.2">
      <c r="C62" s="10"/>
      <c r="D62" s="10"/>
      <c r="E62" s="10"/>
      <c r="F62" s="10" t="s">
        <v>142</v>
      </c>
      <c r="G62" s="10"/>
      <c r="H62" s="10"/>
      <c r="I62" s="10"/>
      <c r="J62" s="10"/>
    </row>
    <row r="63" spans="1:15" x14ac:dyDescent="0.2">
      <c r="C63" s="10"/>
      <c r="D63" s="10"/>
      <c r="E63" s="10"/>
      <c r="F63" s="10"/>
      <c r="G63" s="10"/>
      <c r="H63" s="10"/>
      <c r="I63" s="10"/>
      <c r="J63" s="10"/>
    </row>
    <row r="64" spans="1:15" x14ac:dyDescent="0.2">
      <c r="C64" s="10"/>
      <c r="D64" s="10"/>
      <c r="E64" s="10"/>
      <c r="F64" s="10"/>
      <c r="G64" s="10"/>
      <c r="H64" s="10"/>
      <c r="I64" s="10"/>
      <c r="J64" s="10"/>
    </row>
    <row r="65" spans="3:10" x14ac:dyDescent="0.2">
      <c r="C65" s="10"/>
      <c r="D65" s="10"/>
      <c r="E65" s="10"/>
      <c r="F65" s="10"/>
      <c r="G65" s="10"/>
      <c r="H65" s="10"/>
      <c r="I65" s="10"/>
      <c r="J65" s="10"/>
    </row>
    <row r="66" spans="3:10" x14ac:dyDescent="0.2">
      <c r="C66" s="10"/>
      <c r="D66" s="10"/>
      <c r="E66" s="10"/>
      <c r="F66" s="10"/>
      <c r="G66" s="10"/>
      <c r="H66" s="10"/>
      <c r="I66" s="10"/>
      <c r="J66" s="10"/>
    </row>
    <row r="67" spans="3:10" x14ac:dyDescent="0.2">
      <c r="C67" s="10"/>
      <c r="D67" s="10"/>
      <c r="E67" s="10"/>
      <c r="F67" s="10"/>
      <c r="G67" s="10"/>
      <c r="H67" s="10"/>
      <c r="I67" s="10"/>
      <c r="J67" s="10"/>
    </row>
    <row r="68" spans="3:10" x14ac:dyDescent="0.2">
      <c r="C68" s="10"/>
      <c r="D68" s="10"/>
      <c r="E68" s="10"/>
      <c r="F68" s="10"/>
      <c r="G68" s="10"/>
      <c r="H68" s="10"/>
      <c r="I68" s="10"/>
      <c r="J68" s="10"/>
    </row>
    <row r="69" spans="3:10" x14ac:dyDescent="0.2">
      <c r="C69" s="10"/>
      <c r="D69" s="10"/>
      <c r="E69" s="10"/>
      <c r="F69" s="10"/>
      <c r="G69" s="10"/>
      <c r="H69" s="10"/>
      <c r="I69" s="10"/>
      <c r="J69" s="10"/>
    </row>
    <row r="70" spans="3:10" x14ac:dyDescent="0.2">
      <c r="C70" s="10"/>
      <c r="D70" s="10"/>
      <c r="E70" s="10"/>
      <c r="F70" s="10"/>
      <c r="G70" s="10"/>
      <c r="H70" s="10"/>
      <c r="I70" s="10"/>
      <c r="J70" s="10"/>
    </row>
    <row r="71" spans="3:10" x14ac:dyDescent="0.2">
      <c r="C71" s="10"/>
      <c r="D71" s="10"/>
      <c r="E71" s="10"/>
      <c r="F71" s="10"/>
      <c r="G71" s="10"/>
      <c r="H71" s="10"/>
      <c r="I71" s="10"/>
      <c r="J71" s="10"/>
    </row>
    <row r="72" spans="3:10" x14ac:dyDescent="0.2">
      <c r="C72" s="10"/>
      <c r="D72" s="10"/>
      <c r="E72" s="10"/>
      <c r="F72" s="10"/>
      <c r="G72" s="10"/>
      <c r="H72" s="10"/>
      <c r="I72" s="10"/>
      <c r="J72" s="10"/>
    </row>
    <row r="73" spans="3:10" x14ac:dyDescent="0.2">
      <c r="C73" s="10"/>
      <c r="D73" s="10"/>
      <c r="E73" s="10"/>
      <c r="F73" s="10"/>
      <c r="G73" s="10"/>
      <c r="H73" s="10"/>
      <c r="I73" s="10"/>
      <c r="J73" s="10"/>
    </row>
    <row r="74" spans="3:10" x14ac:dyDescent="0.2">
      <c r="C74" s="10"/>
      <c r="D74" s="10"/>
      <c r="E74" s="10"/>
      <c r="F74" s="10"/>
      <c r="G74" s="10"/>
      <c r="H74" s="10"/>
      <c r="I74" s="10"/>
      <c r="J74" s="10"/>
    </row>
    <row r="75" spans="3:10" x14ac:dyDescent="0.2">
      <c r="C75" s="10"/>
      <c r="D75" s="10"/>
      <c r="E75" s="10"/>
      <c r="F75" s="10"/>
      <c r="G75" s="10"/>
      <c r="H75" s="10"/>
      <c r="I75" s="10"/>
      <c r="J75" s="10"/>
    </row>
    <row r="76" spans="3:10" x14ac:dyDescent="0.2">
      <c r="C76" s="10"/>
      <c r="D76" s="10"/>
      <c r="E76" s="10"/>
      <c r="F76" s="10"/>
      <c r="G76" s="10"/>
      <c r="H76" s="10"/>
      <c r="I76" s="10"/>
      <c r="J76" s="10"/>
    </row>
    <row r="77" spans="3:10" x14ac:dyDescent="0.2">
      <c r="C77" s="10"/>
      <c r="D77" s="10"/>
      <c r="E77" s="10"/>
      <c r="F77" s="10"/>
      <c r="G77" s="10"/>
      <c r="H77" s="10"/>
      <c r="I77" s="10"/>
      <c r="J77" s="10"/>
    </row>
    <row r="78" spans="3:10" x14ac:dyDescent="0.2">
      <c r="C78" s="10"/>
      <c r="D78" s="10"/>
      <c r="E78" s="10"/>
      <c r="F78" s="10"/>
      <c r="G78" s="10"/>
      <c r="H78" s="10"/>
      <c r="I78" s="10"/>
      <c r="J78" s="10"/>
    </row>
    <row r="79" spans="3:10" x14ac:dyDescent="0.2">
      <c r="C79" s="10"/>
      <c r="D79" s="10"/>
      <c r="E79" s="10"/>
      <c r="F79" s="10"/>
      <c r="G79" s="10"/>
      <c r="H79" s="10"/>
      <c r="I79" s="10"/>
      <c r="J79" s="10"/>
    </row>
    <row r="80" spans="3:10" x14ac:dyDescent="0.2">
      <c r="C80" s="10"/>
      <c r="D80" s="10"/>
      <c r="E80" s="10"/>
      <c r="F80" s="10"/>
      <c r="G80" s="10"/>
      <c r="H80" s="10"/>
      <c r="I80" s="10"/>
      <c r="J80" s="10"/>
    </row>
    <row r="81" spans="3:10" x14ac:dyDescent="0.2">
      <c r="C81" s="10"/>
      <c r="D81" s="10"/>
      <c r="E81" s="10"/>
      <c r="F81" s="10"/>
      <c r="G81" s="10"/>
      <c r="H81" s="10"/>
      <c r="I81" s="10"/>
      <c r="J81" s="10"/>
    </row>
    <row r="82" spans="3:10" x14ac:dyDescent="0.2">
      <c r="C82" s="10"/>
      <c r="D82" s="10"/>
      <c r="E82" s="10"/>
      <c r="F82" s="10"/>
      <c r="G82" s="10"/>
      <c r="H82" s="10"/>
      <c r="I82" s="10"/>
      <c r="J82" s="10"/>
    </row>
    <row r="83" spans="3:10" x14ac:dyDescent="0.2">
      <c r="C83" s="10"/>
      <c r="D83" s="10"/>
      <c r="E83" s="10"/>
      <c r="F83" s="10"/>
      <c r="G83" s="10"/>
      <c r="H83" s="10"/>
      <c r="I83" s="10"/>
      <c r="J83" s="10"/>
    </row>
    <row r="84" spans="3:10" x14ac:dyDescent="0.2">
      <c r="C84" s="10"/>
      <c r="D84" s="10"/>
      <c r="E84" s="10"/>
      <c r="F84" s="10"/>
      <c r="G84" s="10"/>
      <c r="H84" s="10"/>
      <c r="I84" s="10"/>
      <c r="J84" s="10"/>
    </row>
    <row r="85" spans="3:10" x14ac:dyDescent="0.2">
      <c r="C85" s="10"/>
      <c r="D85" s="10"/>
      <c r="E85" s="10"/>
      <c r="F85" s="10"/>
      <c r="G85" s="10"/>
      <c r="H85" s="10"/>
      <c r="I85" s="10"/>
      <c r="J85" s="10"/>
    </row>
    <row r="86" spans="3:10" x14ac:dyDescent="0.2">
      <c r="C86" s="10"/>
      <c r="D86" s="10"/>
      <c r="E86" s="10"/>
      <c r="F86" s="10"/>
      <c r="G86" s="10"/>
      <c r="H86" s="10"/>
      <c r="I86" s="10"/>
      <c r="J86" s="10"/>
    </row>
    <row r="87" spans="3:10" x14ac:dyDescent="0.2">
      <c r="C87" s="10"/>
      <c r="D87" s="10"/>
      <c r="E87" s="10"/>
      <c r="F87" s="10"/>
      <c r="G87" s="10"/>
      <c r="H87" s="10"/>
      <c r="I87" s="10"/>
      <c r="J87" s="10"/>
    </row>
    <row r="88" spans="3:10" x14ac:dyDescent="0.2">
      <c r="C88" s="10"/>
      <c r="D88" s="10"/>
      <c r="E88" s="10"/>
      <c r="F88" s="10"/>
      <c r="G88" s="10"/>
      <c r="H88" s="10"/>
      <c r="I88" s="10"/>
      <c r="J88" s="10"/>
    </row>
    <row r="89" spans="3:10" x14ac:dyDescent="0.2">
      <c r="C89" s="10"/>
      <c r="D89" s="10"/>
      <c r="E89" s="10"/>
      <c r="F89" s="10"/>
      <c r="G89" s="10"/>
      <c r="H89" s="10"/>
      <c r="I89" s="10"/>
      <c r="J89" s="10"/>
    </row>
    <row r="90" spans="3:10" x14ac:dyDescent="0.2">
      <c r="C90" s="10"/>
      <c r="D90" s="10"/>
      <c r="E90" s="10"/>
      <c r="F90" s="10"/>
      <c r="G90" s="10"/>
      <c r="H90" s="10"/>
      <c r="I90" s="10"/>
      <c r="J90" s="10"/>
    </row>
    <row r="91" spans="3:10" x14ac:dyDescent="0.2">
      <c r="C91" s="10"/>
      <c r="D91" s="10"/>
      <c r="E91" s="10"/>
      <c r="F91" s="10"/>
      <c r="G91" s="10"/>
      <c r="H91" s="10"/>
      <c r="I91" s="10"/>
      <c r="J91" s="10"/>
    </row>
    <row r="92" spans="3:10" x14ac:dyDescent="0.2">
      <c r="C92" s="10"/>
      <c r="D92" s="10"/>
      <c r="E92" s="10"/>
      <c r="F92" s="10"/>
      <c r="G92" s="10"/>
      <c r="H92" s="10"/>
      <c r="I92" s="10"/>
      <c r="J92" s="10"/>
    </row>
    <row r="93" spans="3:10" x14ac:dyDescent="0.2">
      <c r="C93" s="10"/>
      <c r="D93" s="10"/>
      <c r="E93" s="10"/>
      <c r="F93" s="10"/>
      <c r="G93" s="10"/>
      <c r="H93" s="10"/>
      <c r="I93" s="10"/>
      <c r="J93" s="10"/>
    </row>
    <row r="94" spans="3:10" x14ac:dyDescent="0.2">
      <c r="C94" s="10"/>
      <c r="D94" s="10"/>
      <c r="E94" s="10"/>
      <c r="F94" s="10"/>
      <c r="G94" s="10"/>
      <c r="H94" s="10"/>
      <c r="I94" s="10"/>
      <c r="J94" s="10"/>
    </row>
    <row r="95" spans="3:10" x14ac:dyDescent="0.2">
      <c r="C95" s="10"/>
      <c r="D95" s="10"/>
      <c r="E95" s="10"/>
      <c r="F95" s="10"/>
      <c r="G95" s="10"/>
      <c r="H95" s="10"/>
      <c r="I95" s="10"/>
      <c r="J95" s="10"/>
    </row>
    <row r="96" spans="3:10" x14ac:dyDescent="0.2">
      <c r="C96" s="10"/>
      <c r="D96" s="10"/>
      <c r="E96" s="10"/>
      <c r="F96" s="10"/>
      <c r="G96" s="10"/>
      <c r="H96" s="10"/>
      <c r="I96" s="10"/>
      <c r="J96" s="10"/>
    </row>
    <row r="97" spans="3:10" x14ac:dyDescent="0.2">
      <c r="C97" s="10"/>
      <c r="D97" s="10"/>
      <c r="E97" s="10"/>
      <c r="F97" s="10"/>
      <c r="G97" s="10"/>
      <c r="H97" s="10"/>
      <c r="I97" s="10"/>
      <c r="J97" s="10"/>
    </row>
    <row r="98" spans="3:10" x14ac:dyDescent="0.2">
      <c r="C98" s="10"/>
      <c r="D98" s="10"/>
      <c r="E98" s="10"/>
      <c r="F98" s="10"/>
      <c r="G98" s="10"/>
      <c r="H98" s="10"/>
      <c r="I98" s="10"/>
      <c r="J98" s="10"/>
    </row>
    <row r="99" spans="3:10" x14ac:dyDescent="0.2">
      <c r="C99" s="10"/>
      <c r="D99" s="10"/>
      <c r="E99" s="10"/>
      <c r="F99" s="10"/>
      <c r="G99" s="10"/>
      <c r="H99" s="10"/>
      <c r="I99" s="10"/>
      <c r="J99" s="10"/>
    </row>
    <row r="100" spans="3:10" x14ac:dyDescent="0.2">
      <c r="C100" s="10"/>
      <c r="D100" s="10"/>
      <c r="E100" s="10"/>
      <c r="F100" s="10"/>
      <c r="G100" s="10"/>
      <c r="H100" s="10"/>
      <c r="I100" s="10"/>
      <c r="J100" s="10"/>
    </row>
    <row r="101" spans="3:10" x14ac:dyDescent="0.2">
      <c r="C101" s="10"/>
      <c r="D101" s="10"/>
      <c r="E101" s="10"/>
      <c r="F101" s="10"/>
      <c r="G101" s="10"/>
      <c r="H101" s="10"/>
      <c r="I101" s="10"/>
      <c r="J101" s="10"/>
    </row>
    <row r="102" spans="3:10" x14ac:dyDescent="0.2">
      <c r="C102" s="10"/>
      <c r="D102" s="10"/>
      <c r="E102" s="10"/>
      <c r="F102" s="10"/>
      <c r="G102" s="10"/>
      <c r="H102" s="10"/>
      <c r="I102" s="10"/>
      <c r="J102" s="10"/>
    </row>
    <row r="103" spans="3:10" x14ac:dyDescent="0.2">
      <c r="C103" s="10"/>
      <c r="D103" s="10"/>
      <c r="E103" s="10"/>
      <c r="F103" s="10"/>
      <c r="G103" s="10"/>
      <c r="H103" s="10"/>
      <c r="I103" s="10"/>
      <c r="J103" s="10"/>
    </row>
    <row r="104" spans="3:10" x14ac:dyDescent="0.2">
      <c r="C104" s="10"/>
      <c r="D104" s="10"/>
      <c r="E104" s="10"/>
      <c r="F104" s="10"/>
      <c r="G104" s="10"/>
      <c r="H104" s="10"/>
      <c r="I104" s="10"/>
      <c r="J104" s="10"/>
    </row>
    <row r="105" spans="3:10" x14ac:dyDescent="0.2">
      <c r="C105" s="10"/>
      <c r="D105" s="10"/>
      <c r="E105" s="10"/>
      <c r="F105" s="10"/>
      <c r="G105" s="10"/>
      <c r="H105" s="10"/>
      <c r="I105" s="10"/>
      <c r="J105" s="10"/>
    </row>
    <row r="106" spans="3:10" x14ac:dyDescent="0.2">
      <c r="C106" s="10"/>
      <c r="D106" s="10"/>
      <c r="E106" s="10"/>
      <c r="F106" s="10"/>
      <c r="G106" s="10"/>
      <c r="H106" s="10"/>
      <c r="I106" s="10"/>
      <c r="J106" s="10"/>
    </row>
    <row r="107" spans="3:10" x14ac:dyDescent="0.2">
      <c r="C107" s="10"/>
      <c r="D107" s="10"/>
      <c r="E107" s="10"/>
      <c r="F107" s="10"/>
    </row>
  </sheetData>
  <mergeCells count="6">
    <mergeCell ref="A1:I1"/>
    <mergeCell ref="A53:I53"/>
    <mergeCell ref="A56:I56"/>
    <mergeCell ref="A57:I57"/>
    <mergeCell ref="A54:I54"/>
    <mergeCell ref="A55:I55"/>
  </mergeCells>
  <phoneticPr fontId="10" type="noConversion"/>
  <hyperlinks>
    <hyperlink ref="A2" location="Contents!A1" display="Contents!A1" xr:uid="{6F1A8400-D287-445E-BEE7-8FCA1E0CC132}"/>
  </hyperlinks>
  <pageMargins left="0.39370078740157483" right="0" top="0.39370078740157483" bottom="0.39370078740157483" header="0.19685039370078741" footer="0.19685039370078741"/>
  <pageSetup paperSize="9" orientation="portrait" horizontalDpi="300" verticalDpi="300" r:id="rId1"/>
  <headerFooter alignWithMargins="0"/>
  <colBreaks count="1" manualBreakCount="1">
    <brk id="9" max="58"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B4E22-5D3A-4189-9F10-9EA73E488E2D}">
  <dimension ref="A1:W56"/>
  <sheetViews>
    <sheetView showGridLines="0" tabSelected="1" zoomScaleNormal="100" workbookViewId="0">
      <selection sqref="A1:T1"/>
    </sheetView>
  </sheetViews>
  <sheetFormatPr defaultColWidth="9.28515625" defaultRowHeight="12" x14ac:dyDescent="0.2"/>
  <cols>
    <col min="1" max="1" width="10.7109375" style="2" customWidth="1"/>
    <col min="2" max="2" width="44.28515625" style="2" customWidth="1"/>
    <col min="3" max="20" width="9.7109375" style="2" customWidth="1"/>
    <col min="21" max="16384" width="9.28515625" style="2"/>
  </cols>
  <sheetData>
    <row r="1" spans="1:23" ht="15" customHeight="1" x14ac:dyDescent="0.2">
      <c r="A1" s="157" t="s">
        <v>293</v>
      </c>
      <c r="B1" s="157"/>
      <c r="C1" s="157"/>
      <c r="D1" s="157"/>
      <c r="E1" s="157"/>
      <c r="F1" s="157"/>
      <c r="G1" s="157"/>
      <c r="H1" s="157"/>
      <c r="I1" s="157"/>
      <c r="J1" s="157"/>
      <c r="K1" s="157"/>
      <c r="L1" s="157"/>
      <c r="M1" s="157"/>
      <c r="N1" s="157"/>
      <c r="O1" s="157"/>
      <c r="P1" s="157"/>
      <c r="Q1" s="157"/>
      <c r="R1" s="157"/>
      <c r="S1" s="157"/>
      <c r="T1" s="157"/>
    </row>
    <row r="2" spans="1:23" ht="15" customHeight="1" x14ac:dyDescent="0.2">
      <c r="A2" s="92" t="s">
        <v>229</v>
      </c>
      <c r="B2" s="142"/>
      <c r="C2" s="142"/>
      <c r="D2" s="142"/>
      <c r="E2" s="142"/>
      <c r="F2" s="142"/>
      <c r="G2" s="142"/>
      <c r="H2" s="142"/>
      <c r="I2" s="142"/>
      <c r="J2" s="142"/>
      <c r="K2" s="142"/>
      <c r="L2" s="142"/>
      <c r="M2" s="142"/>
      <c r="N2" s="142"/>
      <c r="O2" s="142"/>
      <c r="P2" s="142"/>
      <c r="Q2" s="142"/>
      <c r="R2" s="142"/>
      <c r="T2" s="62" t="s">
        <v>0</v>
      </c>
    </row>
    <row r="3" spans="1:23" s="152" customFormat="1" ht="24.75" customHeight="1" x14ac:dyDescent="0.2">
      <c r="A3" s="148" t="s">
        <v>237</v>
      </c>
      <c r="B3" s="149" t="s">
        <v>2</v>
      </c>
      <c r="C3" s="150">
        <v>39783</v>
      </c>
      <c r="D3" s="150">
        <v>40148</v>
      </c>
      <c r="E3" s="150">
        <v>40513</v>
      </c>
      <c r="F3" s="150">
        <v>40878</v>
      </c>
      <c r="G3" s="150">
        <v>41244</v>
      </c>
      <c r="H3" s="150">
        <v>41609</v>
      </c>
      <c r="I3" s="150">
        <v>41974</v>
      </c>
      <c r="J3" s="150">
        <v>42339</v>
      </c>
      <c r="K3" s="150">
        <v>42705</v>
      </c>
      <c r="L3" s="150">
        <v>43070</v>
      </c>
      <c r="M3" s="150">
        <v>43435</v>
      </c>
      <c r="N3" s="150">
        <v>43800</v>
      </c>
      <c r="O3" s="150">
        <v>44166</v>
      </c>
      <c r="P3" s="151">
        <v>44531</v>
      </c>
      <c r="Q3" s="151">
        <v>44896</v>
      </c>
      <c r="R3" s="151">
        <v>45261</v>
      </c>
      <c r="S3" s="151">
        <v>45627</v>
      </c>
      <c r="T3" s="151">
        <v>45992</v>
      </c>
    </row>
    <row r="4" spans="1:23" ht="12.75" x14ac:dyDescent="0.2">
      <c r="A4" s="125"/>
      <c r="B4" s="95" t="s">
        <v>238</v>
      </c>
      <c r="C4" s="97">
        <v>2952.2</v>
      </c>
      <c r="D4" s="97">
        <v>2989.7</v>
      </c>
      <c r="E4" s="97">
        <v>3105.6</v>
      </c>
      <c r="F4" s="97">
        <v>3228.2</v>
      </c>
      <c r="G4" s="97">
        <v>3357.4</v>
      </c>
      <c r="H4" s="97">
        <v>3493.6</v>
      </c>
      <c r="I4" s="97">
        <v>3623.6</v>
      </c>
      <c r="J4" s="97">
        <v>3656</v>
      </c>
      <c r="K4" s="97">
        <v>3673.1</v>
      </c>
      <c r="L4" s="97">
        <v>3669.4</v>
      </c>
      <c r="M4" s="96">
        <v>3714.8</v>
      </c>
      <c r="N4" s="96">
        <v>3784.3</v>
      </c>
      <c r="O4" s="97">
        <v>3603.3</v>
      </c>
      <c r="P4" s="96">
        <v>3629.5</v>
      </c>
      <c r="Q4" s="96">
        <v>3889.8</v>
      </c>
      <c r="R4" s="96">
        <v>3986.4</v>
      </c>
      <c r="S4" s="96">
        <v>4046.2</v>
      </c>
      <c r="T4" s="96">
        <v>4117</v>
      </c>
    </row>
    <row r="5" spans="1:23" s="145" customFormat="1" ht="12.75" x14ac:dyDescent="0.2">
      <c r="A5" s="126"/>
      <c r="B5" s="98" t="s">
        <v>143</v>
      </c>
      <c r="C5" s="100">
        <v>2760.7</v>
      </c>
      <c r="D5" s="100">
        <v>2793.7</v>
      </c>
      <c r="E5" s="100">
        <v>2904.2</v>
      </c>
      <c r="F5" s="100">
        <v>3021.9</v>
      </c>
      <c r="G5" s="100">
        <v>3147.7</v>
      </c>
      <c r="H5" s="100">
        <v>3279</v>
      </c>
      <c r="I5" s="100">
        <v>3401.1</v>
      </c>
      <c r="J5" s="100">
        <v>3424.5</v>
      </c>
      <c r="K5" s="100">
        <v>3433.4</v>
      </c>
      <c r="L5" s="100">
        <v>3422.7</v>
      </c>
      <c r="M5" s="99">
        <v>3461</v>
      </c>
      <c r="N5" s="99">
        <v>3522.4</v>
      </c>
      <c r="O5" s="100">
        <v>3355.9</v>
      </c>
      <c r="P5" s="99">
        <v>3383.2</v>
      </c>
      <c r="Q5" s="99">
        <v>3621.3</v>
      </c>
      <c r="R5" s="99">
        <v>3700.1</v>
      </c>
      <c r="S5" s="99">
        <v>3744.6</v>
      </c>
      <c r="T5" s="99">
        <v>3800.1</v>
      </c>
      <c r="U5" s="2"/>
      <c r="V5" s="2"/>
      <c r="W5" s="2"/>
    </row>
    <row r="6" spans="1:23" ht="12.75" x14ac:dyDescent="0.2">
      <c r="A6" s="127" t="s">
        <v>144</v>
      </c>
      <c r="B6" s="101" t="s">
        <v>239</v>
      </c>
      <c r="C6" s="103">
        <v>558.79999999999995</v>
      </c>
      <c r="D6" s="103">
        <v>516.1</v>
      </c>
      <c r="E6" s="103">
        <v>520.20000000000005</v>
      </c>
      <c r="F6" s="103">
        <v>526.5</v>
      </c>
      <c r="G6" s="103">
        <v>535.4</v>
      </c>
      <c r="H6" s="103">
        <v>539.9</v>
      </c>
      <c r="I6" s="103">
        <v>535.9</v>
      </c>
      <c r="J6" s="103">
        <v>515.4</v>
      </c>
      <c r="K6" s="103">
        <v>500.4</v>
      </c>
      <c r="L6" s="103">
        <v>489.3</v>
      </c>
      <c r="M6" s="102">
        <v>488</v>
      </c>
      <c r="N6" s="102">
        <v>487.2</v>
      </c>
      <c r="O6" s="103">
        <v>451.2</v>
      </c>
      <c r="P6" s="102">
        <v>449.9</v>
      </c>
      <c r="Q6" s="102">
        <v>485.2</v>
      </c>
      <c r="R6" s="102">
        <v>487</v>
      </c>
      <c r="S6" s="102">
        <v>486</v>
      </c>
      <c r="T6" s="102">
        <v>494.4</v>
      </c>
    </row>
    <row r="7" spans="1:23" ht="12.75" x14ac:dyDescent="0.2">
      <c r="A7" s="126" t="s">
        <v>240</v>
      </c>
      <c r="B7" s="82" t="s">
        <v>7</v>
      </c>
      <c r="C7" s="105">
        <v>32.9</v>
      </c>
      <c r="D7" s="105">
        <v>34</v>
      </c>
      <c r="E7" s="105">
        <v>36</v>
      </c>
      <c r="F7" s="105">
        <v>36.200000000000003</v>
      </c>
      <c r="G7" s="105">
        <v>37.799999999999997</v>
      </c>
      <c r="H7" s="105">
        <v>41.2</v>
      </c>
      <c r="I7" s="105">
        <v>43.2</v>
      </c>
      <c r="J7" s="105">
        <v>45.5</v>
      </c>
      <c r="K7" s="105">
        <v>46.7</v>
      </c>
      <c r="L7" s="105">
        <v>49.8</v>
      </c>
      <c r="M7" s="104">
        <v>51.4</v>
      </c>
      <c r="N7" s="104">
        <v>52.5</v>
      </c>
      <c r="O7" s="105">
        <v>50</v>
      </c>
      <c r="P7" s="104">
        <v>50.8</v>
      </c>
      <c r="Q7" s="104">
        <v>58.9</v>
      </c>
      <c r="R7" s="104">
        <v>62.2</v>
      </c>
      <c r="S7" s="104">
        <v>64.3</v>
      </c>
      <c r="T7" s="104">
        <v>68</v>
      </c>
    </row>
    <row r="8" spans="1:23" ht="12.75" x14ac:dyDescent="0.2">
      <c r="A8" s="126" t="s">
        <v>241</v>
      </c>
      <c r="B8" s="82" t="s">
        <v>271</v>
      </c>
      <c r="C8" s="105">
        <v>40.9</v>
      </c>
      <c r="D8" s="105">
        <v>37.299999999999997</v>
      </c>
      <c r="E8" s="105">
        <v>40.799999999999997</v>
      </c>
      <c r="F8" s="105">
        <v>40.299999999999997</v>
      </c>
      <c r="G8" s="105">
        <v>38.4</v>
      </c>
      <c r="H8" s="105">
        <v>37.700000000000003</v>
      </c>
      <c r="I8" s="105">
        <v>36.799999999999997</v>
      </c>
      <c r="J8" s="105">
        <v>34.4</v>
      </c>
      <c r="K8" s="105">
        <v>32.5</v>
      </c>
      <c r="L8" s="105">
        <v>30.9</v>
      </c>
      <c r="M8" s="104">
        <v>29.8</v>
      </c>
      <c r="N8" s="104">
        <v>28.9</v>
      </c>
      <c r="O8" s="105">
        <v>26.6</v>
      </c>
      <c r="P8" s="104">
        <v>25.6</v>
      </c>
      <c r="Q8" s="104">
        <v>26.5</v>
      </c>
      <c r="R8" s="104">
        <v>25.9</v>
      </c>
      <c r="S8" s="104">
        <v>24.6</v>
      </c>
      <c r="T8" s="104">
        <v>24.1</v>
      </c>
    </row>
    <row r="9" spans="1:23" ht="12.75" x14ac:dyDescent="0.2">
      <c r="A9" s="126" t="s">
        <v>145</v>
      </c>
      <c r="B9" s="82" t="s">
        <v>70</v>
      </c>
      <c r="C9" s="105">
        <v>50.4</v>
      </c>
      <c r="D9" s="105">
        <v>57.1</v>
      </c>
      <c r="E9" s="105">
        <v>53</v>
      </c>
      <c r="F9" s="105">
        <v>52</v>
      </c>
      <c r="G9" s="105">
        <v>63.9</v>
      </c>
      <c r="H9" s="105">
        <v>64.599999999999994</v>
      </c>
      <c r="I9" s="105">
        <v>61.1</v>
      </c>
      <c r="J9" s="105">
        <v>57.5</v>
      </c>
      <c r="K9" s="105">
        <v>62.8</v>
      </c>
      <c r="L9" s="105">
        <v>59.1</v>
      </c>
      <c r="M9" s="104">
        <v>62.3</v>
      </c>
      <c r="N9" s="104">
        <v>63.1</v>
      </c>
      <c r="O9" s="105">
        <v>58.8</v>
      </c>
      <c r="P9" s="104">
        <v>63.1</v>
      </c>
      <c r="Q9" s="104">
        <v>74.900000000000006</v>
      </c>
      <c r="R9" s="104">
        <v>75.5</v>
      </c>
      <c r="S9" s="104">
        <v>79.2</v>
      </c>
      <c r="T9" s="104">
        <v>81.400000000000006</v>
      </c>
    </row>
    <row r="10" spans="1:23" ht="12.75" x14ac:dyDescent="0.2">
      <c r="A10" s="126" t="s">
        <v>146</v>
      </c>
      <c r="B10" s="82" t="s">
        <v>242</v>
      </c>
      <c r="C10" s="105">
        <v>111.2</v>
      </c>
      <c r="D10" s="105">
        <v>101.2</v>
      </c>
      <c r="E10" s="105">
        <v>105.4</v>
      </c>
      <c r="F10" s="105">
        <v>110.6</v>
      </c>
      <c r="G10" s="105">
        <v>110.8</v>
      </c>
      <c r="H10" s="105">
        <v>110.9</v>
      </c>
      <c r="I10" s="105">
        <v>112.1</v>
      </c>
      <c r="J10" s="105">
        <v>107.2</v>
      </c>
      <c r="K10" s="105">
        <v>99.2</v>
      </c>
      <c r="L10" s="105">
        <v>99.9</v>
      </c>
      <c r="M10" s="104">
        <v>97.8</v>
      </c>
      <c r="N10" s="104">
        <v>96.5</v>
      </c>
      <c r="O10" s="105">
        <v>89.9</v>
      </c>
      <c r="P10" s="104">
        <v>89.8</v>
      </c>
      <c r="Q10" s="104">
        <v>92.8</v>
      </c>
      <c r="R10" s="104">
        <v>94</v>
      </c>
      <c r="S10" s="104">
        <v>91.4</v>
      </c>
      <c r="T10" s="104">
        <v>91.4</v>
      </c>
    </row>
    <row r="11" spans="1:23" ht="12.75" x14ac:dyDescent="0.2">
      <c r="A11" s="126" t="s">
        <v>147</v>
      </c>
      <c r="B11" s="82" t="s">
        <v>272</v>
      </c>
      <c r="C11" s="105">
        <v>105.5</v>
      </c>
      <c r="D11" s="105">
        <v>95.3</v>
      </c>
      <c r="E11" s="105">
        <v>100.9</v>
      </c>
      <c r="F11" s="105">
        <v>96.1</v>
      </c>
      <c r="G11" s="105">
        <v>92.3</v>
      </c>
      <c r="H11" s="105">
        <v>89.4</v>
      </c>
      <c r="I11" s="105">
        <v>88.6</v>
      </c>
      <c r="J11" s="105">
        <v>86.8</v>
      </c>
      <c r="K11" s="105">
        <v>84.6</v>
      </c>
      <c r="L11" s="105">
        <v>92.1</v>
      </c>
      <c r="M11" s="104">
        <v>91.5</v>
      </c>
      <c r="N11" s="104">
        <v>87.8</v>
      </c>
      <c r="O11" s="105">
        <v>83.2</v>
      </c>
      <c r="P11" s="104">
        <v>80.7</v>
      </c>
      <c r="Q11" s="104">
        <v>85.6</v>
      </c>
      <c r="R11" s="104">
        <v>79.099999999999994</v>
      </c>
      <c r="S11" s="104">
        <v>78.3</v>
      </c>
      <c r="T11" s="104">
        <v>79.400000000000006</v>
      </c>
    </row>
    <row r="12" spans="1:23" ht="12.75" x14ac:dyDescent="0.2">
      <c r="A12" s="126" t="s">
        <v>148</v>
      </c>
      <c r="B12" s="82" t="s">
        <v>25</v>
      </c>
      <c r="C12" s="105">
        <v>158.1</v>
      </c>
      <c r="D12" s="105">
        <v>133.5</v>
      </c>
      <c r="E12" s="105">
        <v>124.2</v>
      </c>
      <c r="F12" s="105">
        <v>130.30000000000001</v>
      </c>
      <c r="G12" s="105">
        <v>130.69999999999999</v>
      </c>
      <c r="H12" s="105">
        <v>133.69999999999999</v>
      </c>
      <c r="I12" s="105">
        <v>130.4</v>
      </c>
      <c r="J12" s="105">
        <v>120.3</v>
      </c>
      <c r="K12" s="105">
        <v>111.3</v>
      </c>
      <c r="L12" s="105">
        <v>94.5</v>
      </c>
      <c r="M12" s="104">
        <v>91.6</v>
      </c>
      <c r="N12" s="104">
        <v>94.9</v>
      </c>
      <c r="O12" s="105">
        <v>83.6</v>
      </c>
      <c r="P12" s="104">
        <v>79.900000000000006</v>
      </c>
      <c r="Q12" s="104">
        <v>85.3</v>
      </c>
      <c r="R12" s="104">
        <v>86</v>
      </c>
      <c r="S12" s="104">
        <v>89.6</v>
      </c>
      <c r="T12" s="104">
        <v>92.6</v>
      </c>
    </row>
    <row r="13" spans="1:23" ht="15.75" customHeight="1" x14ac:dyDescent="0.2">
      <c r="A13" s="126"/>
      <c r="B13" s="82" t="s">
        <v>26</v>
      </c>
      <c r="C13" s="105">
        <v>59.9</v>
      </c>
      <c r="D13" s="105">
        <v>57.6</v>
      </c>
      <c r="E13" s="105">
        <v>59.9</v>
      </c>
      <c r="F13" s="105">
        <v>60.9</v>
      </c>
      <c r="G13" s="105">
        <v>61.6</v>
      </c>
      <c r="H13" s="105">
        <v>62.4</v>
      </c>
      <c r="I13" s="105">
        <v>63.7</v>
      </c>
      <c r="J13" s="105">
        <v>63.7</v>
      </c>
      <c r="K13" s="105">
        <v>63.3</v>
      </c>
      <c r="L13" s="105">
        <v>62.9</v>
      </c>
      <c r="M13" s="104">
        <v>63.6</v>
      </c>
      <c r="N13" s="104">
        <v>63.3</v>
      </c>
      <c r="O13" s="105">
        <v>59.2</v>
      </c>
      <c r="P13" s="104">
        <v>59.9</v>
      </c>
      <c r="Q13" s="104">
        <v>61.3</v>
      </c>
      <c r="R13" s="104">
        <v>64.099999999999994</v>
      </c>
      <c r="S13" s="104">
        <v>58.7</v>
      </c>
      <c r="T13" s="104">
        <v>57.6</v>
      </c>
    </row>
    <row r="14" spans="1:23" ht="18" customHeight="1" x14ac:dyDescent="0.2">
      <c r="A14" s="127" t="s">
        <v>243</v>
      </c>
      <c r="B14" s="101" t="s">
        <v>244</v>
      </c>
      <c r="C14" s="103">
        <v>354</v>
      </c>
      <c r="D14" s="103">
        <v>378.2</v>
      </c>
      <c r="E14" s="103">
        <v>378.7</v>
      </c>
      <c r="F14" s="103">
        <v>400.5</v>
      </c>
      <c r="G14" s="103">
        <v>441</v>
      </c>
      <c r="H14" s="103">
        <v>479.5</v>
      </c>
      <c r="I14" s="103">
        <v>494.3</v>
      </c>
      <c r="J14" s="103">
        <v>500.6</v>
      </c>
      <c r="K14" s="103">
        <v>488.9</v>
      </c>
      <c r="L14" s="103">
        <v>450.3</v>
      </c>
      <c r="M14" s="102">
        <v>443.6</v>
      </c>
      <c r="N14" s="102">
        <v>454.5</v>
      </c>
      <c r="O14" s="103">
        <v>403.6</v>
      </c>
      <c r="P14" s="102">
        <v>405.7</v>
      </c>
      <c r="Q14" s="102">
        <v>497.1</v>
      </c>
      <c r="R14" s="102">
        <v>526.20000000000005</v>
      </c>
      <c r="S14" s="102">
        <v>539.5</v>
      </c>
      <c r="T14" s="102">
        <v>566.79999999999995</v>
      </c>
    </row>
    <row r="15" spans="1:23" ht="21.75" customHeight="1" x14ac:dyDescent="0.2">
      <c r="A15" s="127" t="s">
        <v>246</v>
      </c>
      <c r="B15" s="101" t="s">
        <v>247</v>
      </c>
      <c r="C15" s="103">
        <v>2016.7</v>
      </c>
      <c r="D15" s="103">
        <v>2073.9</v>
      </c>
      <c r="E15" s="103">
        <v>2184.6999999999998</v>
      </c>
      <c r="F15" s="103">
        <v>2278.4</v>
      </c>
      <c r="G15" s="103">
        <v>2356.5</v>
      </c>
      <c r="H15" s="103">
        <v>2447.9</v>
      </c>
      <c r="I15" s="103">
        <v>2566.6</v>
      </c>
      <c r="J15" s="103">
        <v>2612.8000000000002</v>
      </c>
      <c r="K15" s="103">
        <v>2656.8</v>
      </c>
      <c r="L15" s="103">
        <v>2703.4</v>
      </c>
      <c r="M15" s="102">
        <v>2757</v>
      </c>
      <c r="N15" s="102">
        <v>2816.5</v>
      </c>
      <c r="O15" s="103">
        <v>2722.5</v>
      </c>
      <c r="P15" s="102">
        <v>2749.7</v>
      </c>
      <c r="Q15" s="102">
        <v>2883.1</v>
      </c>
      <c r="R15" s="102">
        <v>2948.3</v>
      </c>
      <c r="S15" s="102">
        <v>2994.3</v>
      </c>
      <c r="T15" s="102">
        <v>3029.2</v>
      </c>
    </row>
    <row r="16" spans="1:23" ht="12.75" x14ac:dyDescent="0.2">
      <c r="A16" s="127"/>
      <c r="B16" s="98" t="s">
        <v>273</v>
      </c>
      <c r="C16" s="103">
        <v>1825.3</v>
      </c>
      <c r="D16" s="103">
        <v>1877.8</v>
      </c>
      <c r="E16" s="103">
        <v>1983.3</v>
      </c>
      <c r="F16" s="103">
        <v>2072</v>
      </c>
      <c r="G16" s="103">
        <v>2146.9</v>
      </c>
      <c r="H16" s="103">
        <v>2233.4</v>
      </c>
      <c r="I16" s="103">
        <v>2344.1</v>
      </c>
      <c r="J16" s="103">
        <v>2381.3000000000002</v>
      </c>
      <c r="K16" s="103">
        <v>2417.1</v>
      </c>
      <c r="L16" s="103">
        <v>2456.6</v>
      </c>
      <c r="M16" s="102">
        <v>2503.1</v>
      </c>
      <c r="N16" s="102">
        <v>2554.6</v>
      </c>
      <c r="O16" s="103">
        <v>2475.1</v>
      </c>
      <c r="P16" s="102">
        <v>2503.4</v>
      </c>
      <c r="Q16" s="102">
        <v>2614.6</v>
      </c>
      <c r="R16" s="102">
        <v>2662</v>
      </c>
      <c r="S16" s="102">
        <v>2692.7</v>
      </c>
      <c r="T16" s="102">
        <v>2712.3</v>
      </c>
    </row>
    <row r="17" spans="1:20" ht="12.75" x14ac:dyDescent="0.2">
      <c r="A17" s="126" t="s">
        <v>248</v>
      </c>
      <c r="B17" s="82" t="s">
        <v>32</v>
      </c>
      <c r="C17" s="105">
        <v>420</v>
      </c>
      <c r="D17" s="105">
        <v>424.6</v>
      </c>
      <c r="E17" s="105">
        <v>438.4</v>
      </c>
      <c r="F17" s="105">
        <v>452.1</v>
      </c>
      <c r="G17" s="105">
        <v>463.2</v>
      </c>
      <c r="H17" s="105">
        <v>479.4</v>
      </c>
      <c r="I17" s="105">
        <v>497.5</v>
      </c>
      <c r="J17" s="105">
        <v>489.7</v>
      </c>
      <c r="K17" s="105">
        <v>491.1</v>
      </c>
      <c r="L17" s="105">
        <v>490.3</v>
      </c>
      <c r="M17" s="104">
        <v>490.6</v>
      </c>
      <c r="N17" s="104">
        <v>484.4</v>
      </c>
      <c r="O17" s="105">
        <v>459.8</v>
      </c>
      <c r="P17" s="104">
        <v>449.4</v>
      </c>
      <c r="Q17" s="104">
        <v>456.4</v>
      </c>
      <c r="R17" s="104">
        <v>462.9</v>
      </c>
      <c r="S17" s="104">
        <v>455.5</v>
      </c>
      <c r="T17" s="104">
        <v>450.8</v>
      </c>
    </row>
    <row r="18" spans="1:20" ht="12.75" x14ac:dyDescent="0.2">
      <c r="A18" s="126" t="s">
        <v>249</v>
      </c>
      <c r="B18" s="82" t="s">
        <v>34</v>
      </c>
      <c r="C18" s="105">
        <v>278.5</v>
      </c>
      <c r="D18" s="105">
        <v>280.39999999999998</v>
      </c>
      <c r="E18" s="105">
        <v>291.2</v>
      </c>
      <c r="F18" s="105">
        <v>297.89999999999998</v>
      </c>
      <c r="G18" s="105">
        <v>304.10000000000002</v>
      </c>
      <c r="H18" s="105">
        <v>314</v>
      </c>
      <c r="I18" s="105">
        <v>322.3</v>
      </c>
      <c r="J18" s="105">
        <v>322.7</v>
      </c>
      <c r="K18" s="105">
        <v>323.5</v>
      </c>
      <c r="L18" s="105">
        <v>323.8</v>
      </c>
      <c r="M18" s="104">
        <v>326.10000000000002</v>
      </c>
      <c r="N18" s="104">
        <v>319</v>
      </c>
      <c r="O18" s="105">
        <v>304</v>
      </c>
      <c r="P18" s="104">
        <v>293.2</v>
      </c>
      <c r="Q18" s="104">
        <v>297.7</v>
      </c>
      <c r="R18" s="104">
        <v>302.8</v>
      </c>
      <c r="S18" s="104">
        <v>297.2</v>
      </c>
      <c r="T18" s="104">
        <v>293.60000000000002</v>
      </c>
    </row>
    <row r="19" spans="1:20" ht="12.75" x14ac:dyDescent="0.2">
      <c r="A19" s="126" t="s">
        <v>250</v>
      </c>
      <c r="B19" s="82" t="s">
        <v>36</v>
      </c>
      <c r="C19" s="105">
        <v>141.5</v>
      </c>
      <c r="D19" s="105">
        <v>144.19999999999999</v>
      </c>
      <c r="E19" s="105">
        <v>147.30000000000001</v>
      </c>
      <c r="F19" s="105">
        <v>154.19999999999999</v>
      </c>
      <c r="G19" s="105">
        <v>159.1</v>
      </c>
      <c r="H19" s="105">
        <v>165.3</v>
      </c>
      <c r="I19" s="105">
        <v>175.2</v>
      </c>
      <c r="J19" s="105">
        <v>167</v>
      </c>
      <c r="K19" s="105">
        <v>167.6</v>
      </c>
      <c r="L19" s="105">
        <v>166.5</v>
      </c>
      <c r="M19" s="104">
        <v>164.5</v>
      </c>
      <c r="N19" s="104">
        <v>165.3</v>
      </c>
      <c r="O19" s="105">
        <v>155.69999999999999</v>
      </c>
      <c r="P19" s="104">
        <v>156.19999999999999</v>
      </c>
      <c r="Q19" s="104">
        <v>158.6</v>
      </c>
      <c r="R19" s="104">
        <v>160.1</v>
      </c>
      <c r="S19" s="104">
        <v>158.4</v>
      </c>
      <c r="T19" s="104">
        <v>157.19999999999999</v>
      </c>
    </row>
    <row r="20" spans="1:20" ht="12.75" x14ac:dyDescent="0.2">
      <c r="A20" s="126" t="s">
        <v>274</v>
      </c>
      <c r="B20" s="82" t="s">
        <v>251</v>
      </c>
      <c r="C20" s="105">
        <v>202.3</v>
      </c>
      <c r="D20" s="105">
        <v>199.7</v>
      </c>
      <c r="E20" s="105">
        <v>206.4</v>
      </c>
      <c r="F20" s="105">
        <v>213.2</v>
      </c>
      <c r="G20" s="105">
        <v>222.1</v>
      </c>
      <c r="H20" s="105">
        <v>230.3</v>
      </c>
      <c r="I20" s="105">
        <v>238.3</v>
      </c>
      <c r="J20" s="105">
        <v>241.1</v>
      </c>
      <c r="K20" s="105">
        <v>244.8</v>
      </c>
      <c r="L20" s="105">
        <v>250.8</v>
      </c>
      <c r="M20" s="104">
        <v>258.3</v>
      </c>
      <c r="N20" s="104">
        <v>262.2</v>
      </c>
      <c r="O20" s="105">
        <v>253.5</v>
      </c>
      <c r="P20" s="104">
        <v>252.7</v>
      </c>
      <c r="Q20" s="104">
        <v>264</v>
      </c>
      <c r="R20" s="104">
        <v>263.3</v>
      </c>
      <c r="S20" s="104">
        <v>266.3</v>
      </c>
      <c r="T20" s="104">
        <v>269.8</v>
      </c>
    </row>
    <row r="21" spans="1:20" ht="12.75" x14ac:dyDescent="0.2">
      <c r="A21" s="126" t="s">
        <v>252</v>
      </c>
      <c r="B21" s="82" t="s">
        <v>253</v>
      </c>
      <c r="C21" s="105">
        <v>79.099999999999994</v>
      </c>
      <c r="D21" s="105">
        <v>79.8</v>
      </c>
      <c r="E21" s="105">
        <v>81.599999999999994</v>
      </c>
      <c r="F21" s="105">
        <v>82.7</v>
      </c>
      <c r="G21" s="105">
        <v>85</v>
      </c>
      <c r="H21" s="105">
        <v>87.8</v>
      </c>
      <c r="I21" s="105">
        <v>91</v>
      </c>
      <c r="J21" s="105">
        <v>94.4</v>
      </c>
      <c r="K21" s="105">
        <v>99.5</v>
      </c>
      <c r="L21" s="105">
        <v>103.1</v>
      </c>
      <c r="M21" s="104">
        <v>107.9</v>
      </c>
      <c r="N21" s="104">
        <v>108.9</v>
      </c>
      <c r="O21" s="105">
        <v>109.5</v>
      </c>
      <c r="P21" s="104">
        <v>100.3</v>
      </c>
      <c r="Q21" s="104">
        <v>99.8</v>
      </c>
      <c r="R21" s="104">
        <v>101.7</v>
      </c>
      <c r="S21" s="104">
        <v>100.7</v>
      </c>
      <c r="T21" s="104">
        <v>104</v>
      </c>
    </row>
    <row r="22" spans="1:20" ht="25.5" x14ac:dyDescent="0.2">
      <c r="A22" s="126" t="s">
        <v>149</v>
      </c>
      <c r="B22" s="82" t="s">
        <v>254</v>
      </c>
      <c r="C22" s="105">
        <v>39.6</v>
      </c>
      <c r="D22" s="105">
        <v>39.4</v>
      </c>
      <c r="E22" s="105">
        <v>40.5</v>
      </c>
      <c r="F22" s="105">
        <v>43</v>
      </c>
      <c r="G22" s="105">
        <v>43.6</v>
      </c>
      <c r="H22" s="105">
        <v>45.7</v>
      </c>
      <c r="I22" s="105">
        <v>47.6</v>
      </c>
      <c r="J22" s="105">
        <v>46.8</v>
      </c>
      <c r="K22" s="105">
        <v>46.2</v>
      </c>
      <c r="L22" s="105">
        <v>45.4</v>
      </c>
      <c r="M22" s="104">
        <v>44.7</v>
      </c>
      <c r="N22" s="104">
        <v>44.4</v>
      </c>
      <c r="O22" s="105">
        <v>42.9</v>
      </c>
      <c r="P22" s="104">
        <v>43.2</v>
      </c>
      <c r="Q22" s="104">
        <v>44.8</v>
      </c>
      <c r="R22" s="104">
        <v>45.1</v>
      </c>
      <c r="S22" s="104">
        <v>46.7</v>
      </c>
      <c r="T22" s="104">
        <v>47.5</v>
      </c>
    </row>
    <row r="23" spans="1:20" ht="12.75" x14ac:dyDescent="0.2">
      <c r="A23" s="126" t="s">
        <v>150</v>
      </c>
      <c r="B23" s="82" t="s">
        <v>255</v>
      </c>
      <c r="C23" s="105">
        <v>25.7</v>
      </c>
      <c r="D23" s="105">
        <v>25.6</v>
      </c>
      <c r="E23" s="105">
        <v>27.3</v>
      </c>
      <c r="F23" s="105">
        <v>29.1</v>
      </c>
      <c r="G23" s="105">
        <v>31.2</v>
      </c>
      <c r="H23" s="105">
        <v>32.4</v>
      </c>
      <c r="I23" s="105">
        <v>32.1</v>
      </c>
      <c r="J23" s="105">
        <v>32.5</v>
      </c>
      <c r="K23" s="105">
        <v>31.2</v>
      </c>
      <c r="L23" s="105">
        <v>33.4</v>
      </c>
      <c r="M23" s="104">
        <v>34.299999999999997</v>
      </c>
      <c r="N23" s="104">
        <v>36.1</v>
      </c>
      <c r="O23" s="105">
        <v>26.6</v>
      </c>
      <c r="P23" s="104">
        <v>25.2</v>
      </c>
      <c r="Q23" s="104">
        <v>30.9</v>
      </c>
      <c r="R23" s="104">
        <v>34.5</v>
      </c>
      <c r="S23" s="104">
        <v>36.5</v>
      </c>
      <c r="T23" s="104">
        <v>36.6</v>
      </c>
    </row>
    <row r="24" spans="1:20" ht="25.5" x14ac:dyDescent="0.2">
      <c r="A24" s="126" t="s">
        <v>256</v>
      </c>
      <c r="B24" s="106" t="s">
        <v>257</v>
      </c>
      <c r="C24" s="105">
        <v>57.8</v>
      </c>
      <c r="D24" s="105">
        <v>54.9</v>
      </c>
      <c r="E24" s="105">
        <v>57</v>
      </c>
      <c r="F24" s="105">
        <v>58.4</v>
      </c>
      <c r="G24" s="105">
        <v>62.2</v>
      </c>
      <c r="H24" s="105">
        <v>64.400000000000006</v>
      </c>
      <c r="I24" s="105">
        <v>67.400000000000006</v>
      </c>
      <c r="J24" s="105">
        <v>67.400000000000006</v>
      </c>
      <c r="K24" s="105">
        <v>67.900000000000006</v>
      </c>
      <c r="L24" s="105">
        <v>69</v>
      </c>
      <c r="M24" s="104">
        <v>71.5</v>
      </c>
      <c r="N24" s="104">
        <v>72.900000000000006</v>
      </c>
      <c r="O24" s="105">
        <v>74.5</v>
      </c>
      <c r="P24" s="104">
        <v>84</v>
      </c>
      <c r="Q24" s="104">
        <v>88.5</v>
      </c>
      <c r="R24" s="104">
        <v>82</v>
      </c>
      <c r="S24" s="104">
        <v>82.4</v>
      </c>
      <c r="T24" s="104">
        <v>81.7</v>
      </c>
    </row>
    <row r="25" spans="1:20" ht="12.75" x14ac:dyDescent="0.2">
      <c r="A25" s="126" t="s">
        <v>151</v>
      </c>
      <c r="B25" s="106" t="s">
        <v>258</v>
      </c>
      <c r="C25" s="105">
        <v>187.7</v>
      </c>
      <c r="D25" s="105">
        <v>190</v>
      </c>
      <c r="E25" s="105">
        <v>205</v>
      </c>
      <c r="F25" s="105">
        <v>215.1</v>
      </c>
      <c r="G25" s="105">
        <v>222.9</v>
      </c>
      <c r="H25" s="105">
        <v>230.6</v>
      </c>
      <c r="I25" s="105">
        <v>240.8</v>
      </c>
      <c r="J25" s="105">
        <v>246</v>
      </c>
      <c r="K25" s="105">
        <v>253.4</v>
      </c>
      <c r="L25" s="105">
        <v>257.89999999999998</v>
      </c>
      <c r="M25" s="104">
        <v>259.5</v>
      </c>
      <c r="N25" s="104">
        <v>271</v>
      </c>
      <c r="O25" s="105">
        <v>247.7</v>
      </c>
      <c r="P25" s="104">
        <v>243.1</v>
      </c>
      <c r="Q25" s="104">
        <v>262.39999999999998</v>
      </c>
      <c r="R25" s="104">
        <v>268.5</v>
      </c>
      <c r="S25" s="104">
        <v>270.7</v>
      </c>
      <c r="T25" s="104">
        <v>271</v>
      </c>
    </row>
    <row r="26" spans="1:20" ht="12.75" x14ac:dyDescent="0.2">
      <c r="A26" s="126" t="s">
        <v>152</v>
      </c>
      <c r="B26" s="106" t="s">
        <v>153</v>
      </c>
      <c r="C26" s="105">
        <v>29.1</v>
      </c>
      <c r="D26" s="105">
        <v>28</v>
      </c>
      <c r="E26" s="105">
        <v>33.4</v>
      </c>
      <c r="F26" s="105">
        <v>35.4</v>
      </c>
      <c r="G26" s="105">
        <v>36</v>
      </c>
      <c r="H26" s="105">
        <v>35.700000000000003</v>
      </c>
      <c r="I26" s="105">
        <v>36.4</v>
      </c>
      <c r="J26" s="105">
        <v>35.9</v>
      </c>
      <c r="K26" s="105">
        <v>36.700000000000003</v>
      </c>
      <c r="L26" s="105">
        <v>37.200000000000003</v>
      </c>
      <c r="M26" s="104">
        <v>36.5</v>
      </c>
      <c r="N26" s="104">
        <v>36.4</v>
      </c>
      <c r="O26" s="105">
        <v>27.2</v>
      </c>
      <c r="P26" s="104">
        <v>25.6</v>
      </c>
      <c r="Q26" s="104">
        <v>30.2</v>
      </c>
      <c r="R26" s="104">
        <v>32.6</v>
      </c>
      <c r="S26" s="104">
        <v>33.5</v>
      </c>
      <c r="T26" s="104">
        <v>33.700000000000003</v>
      </c>
    </row>
    <row r="27" spans="1:20" ht="12.75" x14ac:dyDescent="0.2">
      <c r="A27" s="126" t="s">
        <v>259</v>
      </c>
      <c r="B27" s="106" t="s">
        <v>154</v>
      </c>
      <c r="C27" s="105">
        <v>158.6</v>
      </c>
      <c r="D27" s="105">
        <v>162</v>
      </c>
      <c r="E27" s="105">
        <v>171.7</v>
      </c>
      <c r="F27" s="105">
        <v>179.8</v>
      </c>
      <c r="G27" s="105">
        <v>186.9</v>
      </c>
      <c r="H27" s="105">
        <v>194.8</v>
      </c>
      <c r="I27" s="105">
        <v>204.4</v>
      </c>
      <c r="J27" s="105">
        <v>210.1</v>
      </c>
      <c r="K27" s="105">
        <v>216.7</v>
      </c>
      <c r="L27" s="105">
        <v>220.7</v>
      </c>
      <c r="M27" s="104">
        <v>223.1</v>
      </c>
      <c r="N27" s="104">
        <v>234.6</v>
      </c>
      <c r="O27" s="105">
        <v>220.5</v>
      </c>
      <c r="P27" s="104">
        <v>217.5</v>
      </c>
      <c r="Q27" s="104">
        <v>232.2</v>
      </c>
      <c r="R27" s="104">
        <v>236</v>
      </c>
      <c r="S27" s="104">
        <v>237.2</v>
      </c>
      <c r="T27" s="104">
        <v>237.4</v>
      </c>
    </row>
    <row r="28" spans="1:20" ht="12.75" x14ac:dyDescent="0.2">
      <c r="A28" s="126" t="s">
        <v>155</v>
      </c>
      <c r="B28" s="82" t="s">
        <v>109</v>
      </c>
      <c r="C28" s="105">
        <v>91.6</v>
      </c>
      <c r="D28" s="105">
        <v>94.4</v>
      </c>
      <c r="E28" s="105">
        <v>103</v>
      </c>
      <c r="F28" s="105">
        <v>112.4</v>
      </c>
      <c r="G28" s="105">
        <v>115.9</v>
      </c>
      <c r="H28" s="105">
        <v>122</v>
      </c>
      <c r="I28" s="105">
        <v>129</v>
      </c>
      <c r="J28" s="105">
        <v>133</v>
      </c>
      <c r="K28" s="105">
        <v>135.4</v>
      </c>
      <c r="L28" s="105">
        <v>139.6</v>
      </c>
      <c r="M28" s="104">
        <v>147.1</v>
      </c>
      <c r="N28" s="104">
        <v>154.80000000000001</v>
      </c>
      <c r="O28" s="105">
        <v>157.6</v>
      </c>
      <c r="P28" s="104">
        <v>172.9</v>
      </c>
      <c r="Q28" s="104">
        <v>187.8</v>
      </c>
      <c r="R28" s="104">
        <v>181.9</v>
      </c>
      <c r="S28" s="104">
        <v>180.3</v>
      </c>
      <c r="T28" s="104">
        <v>174.5</v>
      </c>
    </row>
    <row r="29" spans="1:20" ht="12.75" x14ac:dyDescent="0.2">
      <c r="A29" s="126" t="s">
        <v>156</v>
      </c>
      <c r="B29" s="82" t="s">
        <v>260</v>
      </c>
      <c r="C29" s="105">
        <v>34.799999999999997</v>
      </c>
      <c r="D29" s="105">
        <v>35.299999999999997</v>
      </c>
      <c r="E29" s="105">
        <v>37.200000000000003</v>
      </c>
      <c r="F29" s="105">
        <v>38.5</v>
      </c>
      <c r="G29" s="105">
        <v>38.799999999999997</v>
      </c>
      <c r="H29" s="105">
        <v>40.200000000000003</v>
      </c>
      <c r="I29" s="105">
        <v>40.9</v>
      </c>
      <c r="J29" s="105">
        <v>41.7</v>
      </c>
      <c r="K29" s="105">
        <v>40.799999999999997</v>
      </c>
      <c r="L29" s="105">
        <v>41.1</v>
      </c>
      <c r="M29" s="104">
        <v>40.4</v>
      </c>
      <c r="N29" s="104">
        <v>40.4</v>
      </c>
      <c r="O29" s="105">
        <v>40</v>
      </c>
      <c r="P29" s="104">
        <v>41.5</v>
      </c>
      <c r="Q29" s="104">
        <v>42.9</v>
      </c>
      <c r="R29" s="104">
        <v>40.299999999999997</v>
      </c>
      <c r="S29" s="104">
        <v>38.6</v>
      </c>
      <c r="T29" s="104">
        <v>36.6</v>
      </c>
    </row>
    <row r="30" spans="1:20" ht="12.75" x14ac:dyDescent="0.2">
      <c r="A30" s="126" t="s">
        <v>157</v>
      </c>
      <c r="B30" s="82" t="s">
        <v>115</v>
      </c>
      <c r="C30" s="105">
        <v>56.8</v>
      </c>
      <c r="D30" s="105">
        <v>59</v>
      </c>
      <c r="E30" s="105">
        <v>65.8</v>
      </c>
      <c r="F30" s="105">
        <v>74</v>
      </c>
      <c r="G30" s="105">
        <v>77.099999999999994</v>
      </c>
      <c r="H30" s="105">
        <v>81.8</v>
      </c>
      <c r="I30" s="105">
        <v>88.1</v>
      </c>
      <c r="J30" s="105">
        <v>91.3</v>
      </c>
      <c r="K30" s="105">
        <v>94.6</v>
      </c>
      <c r="L30" s="105">
        <v>98.5</v>
      </c>
      <c r="M30" s="104">
        <v>106.7</v>
      </c>
      <c r="N30" s="104">
        <v>114.5</v>
      </c>
      <c r="O30" s="105">
        <v>117.6</v>
      </c>
      <c r="P30" s="104">
        <v>131.4</v>
      </c>
      <c r="Q30" s="104">
        <v>145</v>
      </c>
      <c r="R30" s="104">
        <v>141.6</v>
      </c>
      <c r="S30" s="104">
        <v>141.69999999999999</v>
      </c>
      <c r="T30" s="104">
        <v>137.9</v>
      </c>
    </row>
    <row r="31" spans="1:20" ht="12.75" x14ac:dyDescent="0.2">
      <c r="A31" s="126" t="s">
        <v>158</v>
      </c>
      <c r="B31" s="106" t="s">
        <v>261</v>
      </c>
      <c r="C31" s="105">
        <v>142</v>
      </c>
      <c r="D31" s="105">
        <v>143.4</v>
      </c>
      <c r="E31" s="105">
        <v>149.9</v>
      </c>
      <c r="F31" s="105">
        <v>157</v>
      </c>
      <c r="G31" s="105">
        <v>162.9</v>
      </c>
      <c r="H31" s="105">
        <v>168.6</v>
      </c>
      <c r="I31" s="105">
        <v>177.4</v>
      </c>
      <c r="J31" s="105">
        <v>179.9</v>
      </c>
      <c r="K31" s="105">
        <v>185.2</v>
      </c>
      <c r="L31" s="105">
        <v>187.9</v>
      </c>
      <c r="M31" s="104">
        <v>195.6</v>
      </c>
      <c r="N31" s="104">
        <v>201.4</v>
      </c>
      <c r="O31" s="105">
        <v>204.2</v>
      </c>
      <c r="P31" s="104">
        <v>210.9</v>
      </c>
      <c r="Q31" s="104">
        <v>221.6</v>
      </c>
      <c r="R31" s="104">
        <v>231.1</v>
      </c>
      <c r="S31" s="104">
        <v>232.3</v>
      </c>
      <c r="T31" s="104">
        <v>241.3</v>
      </c>
    </row>
    <row r="32" spans="1:20" ht="25.5" x14ac:dyDescent="0.2">
      <c r="A32" s="126" t="s">
        <v>262</v>
      </c>
      <c r="B32" s="106" t="s">
        <v>159</v>
      </c>
      <c r="C32" s="105">
        <v>115.7</v>
      </c>
      <c r="D32" s="105">
        <v>116.3</v>
      </c>
      <c r="E32" s="105">
        <v>121.7</v>
      </c>
      <c r="F32" s="105">
        <v>128.4</v>
      </c>
      <c r="G32" s="105">
        <v>133.5</v>
      </c>
      <c r="H32" s="105">
        <v>138.30000000000001</v>
      </c>
      <c r="I32" s="105">
        <v>143.69999999999999</v>
      </c>
      <c r="J32" s="105">
        <v>145.69999999999999</v>
      </c>
      <c r="K32" s="105">
        <v>149.5</v>
      </c>
      <c r="L32" s="105">
        <v>149.6</v>
      </c>
      <c r="M32" s="104">
        <v>156.1</v>
      </c>
      <c r="N32" s="104">
        <v>160.80000000000001</v>
      </c>
      <c r="O32" s="105">
        <v>162.30000000000001</v>
      </c>
      <c r="P32" s="104">
        <v>167.6</v>
      </c>
      <c r="Q32" s="104">
        <v>176.1</v>
      </c>
      <c r="R32" s="104">
        <v>186.7</v>
      </c>
      <c r="S32" s="104">
        <v>189.7</v>
      </c>
      <c r="T32" s="104">
        <v>197</v>
      </c>
    </row>
    <row r="33" spans="1:20" ht="12.75" x14ac:dyDescent="0.2">
      <c r="A33" s="126" t="s">
        <v>160</v>
      </c>
      <c r="B33" s="106" t="s">
        <v>161</v>
      </c>
      <c r="C33" s="105">
        <v>26.3</v>
      </c>
      <c r="D33" s="105">
        <v>27.1</v>
      </c>
      <c r="E33" s="105">
        <v>28.1</v>
      </c>
      <c r="F33" s="105">
        <v>28.6</v>
      </c>
      <c r="G33" s="105">
        <v>29.4</v>
      </c>
      <c r="H33" s="105">
        <v>30.3</v>
      </c>
      <c r="I33" s="105">
        <v>33.700000000000003</v>
      </c>
      <c r="J33" s="105">
        <v>34.200000000000003</v>
      </c>
      <c r="K33" s="105">
        <v>35.700000000000003</v>
      </c>
      <c r="L33" s="105">
        <v>38.299999999999997</v>
      </c>
      <c r="M33" s="104">
        <v>39.4</v>
      </c>
      <c r="N33" s="104">
        <v>40.6</v>
      </c>
      <c r="O33" s="105">
        <v>41.9</v>
      </c>
      <c r="P33" s="104">
        <v>43.4</v>
      </c>
      <c r="Q33" s="104">
        <v>45.5</v>
      </c>
      <c r="R33" s="104">
        <v>44.4</v>
      </c>
      <c r="S33" s="104">
        <v>42.6</v>
      </c>
      <c r="T33" s="104">
        <v>44.3</v>
      </c>
    </row>
    <row r="34" spans="1:20" ht="12.75" x14ac:dyDescent="0.2">
      <c r="A34" s="126" t="s">
        <v>263</v>
      </c>
      <c r="B34" s="82" t="s">
        <v>264</v>
      </c>
      <c r="C34" s="105">
        <v>75.900000000000006</v>
      </c>
      <c r="D34" s="105">
        <v>78.599999999999994</v>
      </c>
      <c r="E34" s="105">
        <v>81.2</v>
      </c>
      <c r="F34" s="105">
        <v>84.7</v>
      </c>
      <c r="G34" s="105">
        <v>88.8</v>
      </c>
      <c r="H34" s="105">
        <v>87.4</v>
      </c>
      <c r="I34" s="105">
        <v>94.2</v>
      </c>
      <c r="J34" s="105">
        <v>88.6</v>
      </c>
      <c r="K34" s="105">
        <v>81.400000000000006</v>
      </c>
      <c r="L34" s="105">
        <v>80.099999999999994</v>
      </c>
      <c r="M34" s="104">
        <v>80.900000000000006</v>
      </c>
      <c r="N34" s="104">
        <v>81</v>
      </c>
      <c r="O34" s="105">
        <v>74.400000000000006</v>
      </c>
      <c r="P34" s="104">
        <v>72.8</v>
      </c>
      <c r="Q34" s="104">
        <v>77.099999999999994</v>
      </c>
      <c r="R34" s="104">
        <v>78.900000000000006</v>
      </c>
      <c r="S34" s="104">
        <v>82.4</v>
      </c>
      <c r="T34" s="104">
        <v>78.5</v>
      </c>
    </row>
    <row r="35" spans="1:20" ht="12.75" x14ac:dyDescent="0.2">
      <c r="A35" s="126" t="s">
        <v>162</v>
      </c>
      <c r="B35" s="82" t="s">
        <v>275</v>
      </c>
      <c r="C35" s="105">
        <v>167.2</v>
      </c>
      <c r="D35" s="105">
        <v>171.7</v>
      </c>
      <c r="E35" s="105">
        <v>184.2</v>
      </c>
      <c r="F35" s="105">
        <v>193.8</v>
      </c>
      <c r="G35" s="105">
        <v>203.9</v>
      </c>
      <c r="H35" s="105">
        <v>218.7</v>
      </c>
      <c r="I35" s="105">
        <v>231.3</v>
      </c>
      <c r="J35" s="105">
        <v>234.2</v>
      </c>
      <c r="K35" s="105">
        <v>234.6</v>
      </c>
      <c r="L35" s="105">
        <v>238.1</v>
      </c>
      <c r="M35" s="104">
        <v>245</v>
      </c>
      <c r="N35" s="104">
        <v>255.1</v>
      </c>
      <c r="O35" s="105">
        <v>252.2</v>
      </c>
      <c r="P35" s="104">
        <v>261.39999999999998</v>
      </c>
      <c r="Q35" s="104">
        <v>278.3</v>
      </c>
      <c r="R35" s="104">
        <v>284.60000000000002</v>
      </c>
      <c r="S35" s="104">
        <v>288.2</v>
      </c>
      <c r="T35" s="104">
        <v>285.7</v>
      </c>
    </row>
    <row r="36" spans="1:20" ht="12.75" x14ac:dyDescent="0.2">
      <c r="A36" s="126" t="s">
        <v>163</v>
      </c>
      <c r="B36" s="82" t="s">
        <v>126</v>
      </c>
      <c r="C36" s="105">
        <v>77.599999999999994</v>
      </c>
      <c r="D36" s="105">
        <v>79.599999999999994</v>
      </c>
      <c r="E36" s="105">
        <v>86.7</v>
      </c>
      <c r="F36" s="105">
        <v>90.4</v>
      </c>
      <c r="G36" s="105">
        <v>94.1</v>
      </c>
      <c r="H36" s="105">
        <v>102.5</v>
      </c>
      <c r="I36" s="105">
        <v>108.9</v>
      </c>
      <c r="J36" s="105">
        <v>113.4</v>
      </c>
      <c r="K36" s="105">
        <v>116</v>
      </c>
      <c r="L36" s="105">
        <v>119.6</v>
      </c>
      <c r="M36" s="104">
        <v>125.2</v>
      </c>
      <c r="N36" s="104">
        <v>132.69999999999999</v>
      </c>
      <c r="O36" s="105">
        <v>132.69999999999999</v>
      </c>
      <c r="P36" s="104">
        <v>140.4</v>
      </c>
      <c r="Q36" s="104">
        <v>149.4</v>
      </c>
      <c r="R36" s="104">
        <v>155.19999999999999</v>
      </c>
      <c r="S36" s="104">
        <v>160.30000000000001</v>
      </c>
      <c r="T36" s="104">
        <v>160.1</v>
      </c>
    </row>
    <row r="37" spans="1:20" ht="12.75" x14ac:dyDescent="0.2">
      <c r="A37" s="126" t="s">
        <v>164</v>
      </c>
      <c r="B37" s="82" t="s">
        <v>265</v>
      </c>
      <c r="C37" s="105">
        <v>50</v>
      </c>
      <c r="D37" s="105">
        <v>52.2</v>
      </c>
      <c r="E37" s="105">
        <v>55.2</v>
      </c>
      <c r="F37" s="105">
        <v>58.4</v>
      </c>
      <c r="G37" s="105">
        <v>61.7</v>
      </c>
      <c r="H37" s="105">
        <v>65.099999999999994</v>
      </c>
      <c r="I37" s="105">
        <v>65.7</v>
      </c>
      <c r="J37" s="105">
        <v>64.599999999999994</v>
      </c>
      <c r="K37" s="105">
        <v>62.2</v>
      </c>
      <c r="L37" s="105">
        <v>61</v>
      </c>
      <c r="M37" s="104">
        <v>62</v>
      </c>
      <c r="N37" s="104">
        <v>63</v>
      </c>
      <c r="O37" s="105">
        <v>61.7</v>
      </c>
      <c r="P37" s="104">
        <v>62.4</v>
      </c>
      <c r="Q37" s="104">
        <v>66</v>
      </c>
      <c r="R37" s="104">
        <v>65.599999999999994</v>
      </c>
      <c r="S37" s="104">
        <v>65.5</v>
      </c>
      <c r="T37" s="104">
        <v>64.900000000000006</v>
      </c>
    </row>
    <row r="38" spans="1:20" ht="12.75" x14ac:dyDescent="0.2">
      <c r="A38" s="126" t="s">
        <v>266</v>
      </c>
      <c r="B38" s="82" t="s">
        <v>267</v>
      </c>
      <c r="C38" s="105">
        <v>39.6</v>
      </c>
      <c r="D38" s="105">
        <v>39.9</v>
      </c>
      <c r="E38" s="105">
        <v>42.3</v>
      </c>
      <c r="F38" s="105">
        <v>45</v>
      </c>
      <c r="G38" s="105">
        <v>48.1</v>
      </c>
      <c r="H38" s="105">
        <v>51.1</v>
      </c>
      <c r="I38" s="105">
        <v>56.8</v>
      </c>
      <c r="J38" s="105">
        <v>56.3</v>
      </c>
      <c r="K38" s="105">
        <v>56.4</v>
      </c>
      <c r="L38" s="105">
        <v>57.5</v>
      </c>
      <c r="M38" s="104">
        <v>57.8</v>
      </c>
      <c r="N38" s="104">
        <v>59.4</v>
      </c>
      <c r="O38" s="105">
        <v>57.8</v>
      </c>
      <c r="P38" s="104">
        <v>58.6</v>
      </c>
      <c r="Q38" s="104">
        <v>62.9</v>
      </c>
      <c r="R38" s="104">
        <v>63.8</v>
      </c>
      <c r="S38" s="104">
        <v>62.4</v>
      </c>
      <c r="T38" s="104">
        <v>60.7</v>
      </c>
    </row>
    <row r="39" spans="1:20" ht="12.75" x14ac:dyDescent="0.2">
      <c r="A39" s="126" t="s">
        <v>165</v>
      </c>
      <c r="B39" s="82" t="s">
        <v>268</v>
      </c>
      <c r="C39" s="105">
        <v>148.1</v>
      </c>
      <c r="D39" s="105">
        <v>156</v>
      </c>
      <c r="E39" s="105">
        <v>166.8</v>
      </c>
      <c r="F39" s="105">
        <v>176.9</v>
      </c>
      <c r="G39" s="105">
        <v>183.2</v>
      </c>
      <c r="H39" s="105">
        <v>193.4</v>
      </c>
      <c r="I39" s="105">
        <v>207.8</v>
      </c>
      <c r="J39" s="105">
        <v>222.8</v>
      </c>
      <c r="K39" s="105">
        <v>232.1</v>
      </c>
      <c r="L39" s="105">
        <v>242.8</v>
      </c>
      <c r="M39" s="104">
        <v>246.2</v>
      </c>
      <c r="N39" s="104">
        <v>253</v>
      </c>
      <c r="O39" s="105">
        <v>237.8</v>
      </c>
      <c r="P39" s="104">
        <v>241.6</v>
      </c>
      <c r="Q39" s="104">
        <v>241.9</v>
      </c>
      <c r="R39" s="104">
        <v>243.4</v>
      </c>
      <c r="S39" s="104">
        <v>250.7</v>
      </c>
      <c r="T39" s="104">
        <v>255.5</v>
      </c>
    </row>
    <row r="40" spans="1:20" ht="12.75" x14ac:dyDescent="0.2">
      <c r="A40" s="126" t="s">
        <v>166</v>
      </c>
      <c r="B40" s="82" t="s">
        <v>167</v>
      </c>
      <c r="C40" s="105">
        <v>30</v>
      </c>
      <c r="D40" s="105">
        <v>32.5</v>
      </c>
      <c r="E40" s="105">
        <v>33.5</v>
      </c>
      <c r="F40" s="105">
        <v>35.9</v>
      </c>
      <c r="G40" s="105">
        <v>36.799999999999997</v>
      </c>
      <c r="H40" s="105">
        <v>38.1</v>
      </c>
      <c r="I40" s="105">
        <v>40.5</v>
      </c>
      <c r="J40" s="105">
        <v>42.8</v>
      </c>
      <c r="K40" s="105">
        <v>44.4</v>
      </c>
      <c r="L40" s="105">
        <v>47.1</v>
      </c>
      <c r="M40" s="104">
        <v>48.5</v>
      </c>
      <c r="N40" s="104">
        <v>49.5</v>
      </c>
      <c r="O40" s="105">
        <v>48.6</v>
      </c>
      <c r="P40" s="104">
        <v>48.2</v>
      </c>
      <c r="Q40" s="104">
        <v>47.3</v>
      </c>
      <c r="R40" s="104">
        <v>47.5</v>
      </c>
      <c r="S40" s="104">
        <v>49.7</v>
      </c>
      <c r="T40" s="104">
        <v>49.4</v>
      </c>
    </row>
    <row r="41" spans="1:20" ht="12.75" x14ac:dyDescent="0.2">
      <c r="A41" s="126" t="s">
        <v>168</v>
      </c>
      <c r="B41" s="82" t="s">
        <v>169</v>
      </c>
      <c r="C41" s="105">
        <v>41.6</v>
      </c>
      <c r="D41" s="105">
        <v>43.7</v>
      </c>
      <c r="E41" s="105">
        <v>45.5</v>
      </c>
      <c r="F41" s="105">
        <v>46.5</v>
      </c>
      <c r="G41" s="105">
        <v>48.7</v>
      </c>
      <c r="H41" s="105">
        <v>54.7</v>
      </c>
      <c r="I41" s="105">
        <v>59.7</v>
      </c>
      <c r="J41" s="105">
        <v>66</v>
      </c>
      <c r="K41" s="105">
        <v>73.8</v>
      </c>
      <c r="L41" s="105">
        <v>79.2</v>
      </c>
      <c r="M41" s="104">
        <v>79.599999999999994</v>
      </c>
      <c r="N41" s="104">
        <v>82.8</v>
      </c>
      <c r="O41" s="105">
        <v>78.400000000000006</v>
      </c>
      <c r="P41" s="104">
        <v>79</v>
      </c>
      <c r="Q41" s="104">
        <v>81.8</v>
      </c>
      <c r="R41" s="104">
        <v>82.3</v>
      </c>
      <c r="S41" s="104">
        <v>84.6</v>
      </c>
      <c r="T41" s="104">
        <v>87.9</v>
      </c>
    </row>
    <row r="42" spans="1:20" ht="12.75" customHeight="1" x14ac:dyDescent="0.2">
      <c r="A42" s="126"/>
      <c r="B42" s="82" t="s">
        <v>269</v>
      </c>
      <c r="C42" s="105">
        <v>76.400000000000006</v>
      </c>
      <c r="D42" s="105">
        <v>79.8</v>
      </c>
      <c r="E42" s="105">
        <v>87.8</v>
      </c>
      <c r="F42" s="105">
        <v>94.4</v>
      </c>
      <c r="G42" s="105">
        <v>97.7</v>
      </c>
      <c r="H42" s="105">
        <v>100.6</v>
      </c>
      <c r="I42" s="105">
        <v>107.5</v>
      </c>
      <c r="J42" s="105">
        <v>114</v>
      </c>
      <c r="K42" s="105">
        <v>113.9</v>
      </c>
      <c r="L42" s="105">
        <v>116.5</v>
      </c>
      <c r="M42" s="104">
        <v>118.2</v>
      </c>
      <c r="N42" s="104">
        <v>120.7</v>
      </c>
      <c r="O42" s="105">
        <v>110.7</v>
      </c>
      <c r="P42" s="104">
        <v>114.4</v>
      </c>
      <c r="Q42" s="104">
        <v>112.8</v>
      </c>
      <c r="R42" s="104">
        <v>113.6</v>
      </c>
      <c r="S42" s="104">
        <v>116.4</v>
      </c>
      <c r="T42" s="104">
        <v>118.3</v>
      </c>
    </row>
    <row r="43" spans="1:20" ht="12.75" x14ac:dyDescent="0.2">
      <c r="A43" s="126" t="s">
        <v>270</v>
      </c>
      <c r="B43" s="82" t="s">
        <v>134</v>
      </c>
      <c r="C43" s="105">
        <v>582.1</v>
      </c>
      <c r="D43" s="105">
        <v>615.6</v>
      </c>
      <c r="E43" s="105">
        <v>649.70000000000005</v>
      </c>
      <c r="F43" s="105">
        <v>673.3</v>
      </c>
      <c r="G43" s="105">
        <v>693.6</v>
      </c>
      <c r="H43" s="105">
        <v>717.5</v>
      </c>
      <c r="I43" s="105">
        <v>750.4</v>
      </c>
      <c r="J43" s="105">
        <v>777.5</v>
      </c>
      <c r="K43" s="105">
        <v>798.9</v>
      </c>
      <c r="L43" s="105">
        <v>815.9</v>
      </c>
      <c r="M43" s="104">
        <v>833.8</v>
      </c>
      <c r="N43" s="104">
        <v>853.6</v>
      </c>
      <c r="O43" s="105">
        <v>835.3</v>
      </c>
      <c r="P43" s="104">
        <v>844.8</v>
      </c>
      <c r="Q43" s="104">
        <v>893.6</v>
      </c>
      <c r="R43" s="104">
        <v>933.9</v>
      </c>
      <c r="S43" s="104">
        <v>967.9</v>
      </c>
      <c r="T43" s="104">
        <v>1002.1</v>
      </c>
    </row>
    <row r="44" spans="1:20" ht="12.75" x14ac:dyDescent="0.2">
      <c r="A44" s="126" t="s">
        <v>170</v>
      </c>
      <c r="B44" s="82" t="s">
        <v>52</v>
      </c>
      <c r="C44" s="105">
        <v>183.4</v>
      </c>
      <c r="D44" s="105">
        <v>195.3</v>
      </c>
      <c r="E44" s="105">
        <v>203.2</v>
      </c>
      <c r="F44" s="105">
        <v>210.9</v>
      </c>
      <c r="G44" s="105">
        <v>218.9</v>
      </c>
      <c r="H44" s="105">
        <v>225.5</v>
      </c>
      <c r="I44" s="105">
        <v>234.4</v>
      </c>
      <c r="J44" s="105">
        <v>239.4</v>
      </c>
      <c r="K44" s="105">
        <v>244.5</v>
      </c>
      <c r="L44" s="105">
        <v>245.8</v>
      </c>
      <c r="M44" s="104">
        <v>249.6</v>
      </c>
      <c r="N44" s="104">
        <v>253.5</v>
      </c>
      <c r="O44" s="105">
        <v>261.60000000000002</v>
      </c>
      <c r="P44" s="104">
        <v>263.7</v>
      </c>
      <c r="Q44" s="104">
        <v>265.39999999999998</v>
      </c>
      <c r="R44" s="104">
        <v>268.2</v>
      </c>
      <c r="S44" s="104">
        <v>273.10000000000002</v>
      </c>
      <c r="T44" s="104">
        <v>275.8</v>
      </c>
    </row>
    <row r="45" spans="1:20" ht="12.75" x14ac:dyDescent="0.2">
      <c r="A45" s="126" t="s">
        <v>279</v>
      </c>
      <c r="B45" s="82" t="s">
        <v>280</v>
      </c>
      <c r="C45" s="105">
        <v>113.2</v>
      </c>
      <c r="D45" s="105">
        <v>119.4</v>
      </c>
      <c r="E45" s="105">
        <v>121.7</v>
      </c>
      <c r="F45" s="105">
        <v>123.3</v>
      </c>
      <c r="G45" s="105">
        <v>126.2</v>
      </c>
      <c r="H45" s="105">
        <v>128.4</v>
      </c>
      <c r="I45" s="105">
        <v>130.4</v>
      </c>
      <c r="J45" s="105">
        <v>133.30000000000001</v>
      </c>
      <c r="K45" s="105">
        <v>136.19999999999999</v>
      </c>
      <c r="L45" s="105">
        <v>136.30000000000001</v>
      </c>
      <c r="M45" s="104">
        <v>137.19999999999999</v>
      </c>
      <c r="N45" s="104">
        <v>138.30000000000001</v>
      </c>
      <c r="O45" s="105">
        <v>146.80000000000001</v>
      </c>
      <c r="P45" s="104">
        <v>146.6</v>
      </c>
      <c r="Q45" s="104">
        <v>146.30000000000001</v>
      </c>
      <c r="R45" s="104">
        <v>147.9</v>
      </c>
      <c r="S45" s="104">
        <v>150.5</v>
      </c>
      <c r="T45" s="104">
        <v>153.9</v>
      </c>
    </row>
    <row r="46" spans="1:20" ht="12.75" x14ac:dyDescent="0.2">
      <c r="A46" s="126" t="s">
        <v>281</v>
      </c>
      <c r="B46" s="82" t="s">
        <v>282</v>
      </c>
      <c r="C46" s="105">
        <v>70.2</v>
      </c>
      <c r="D46" s="105">
        <v>75.8</v>
      </c>
      <c r="E46" s="105">
        <v>81.400000000000006</v>
      </c>
      <c r="F46" s="105">
        <v>87.6</v>
      </c>
      <c r="G46" s="105">
        <v>92.7</v>
      </c>
      <c r="H46" s="105">
        <v>97.1</v>
      </c>
      <c r="I46" s="105">
        <v>104</v>
      </c>
      <c r="J46" s="105">
        <v>106.1</v>
      </c>
      <c r="K46" s="105">
        <v>108.3</v>
      </c>
      <c r="L46" s="105">
        <v>109.5</v>
      </c>
      <c r="M46" s="104">
        <v>112.4</v>
      </c>
      <c r="N46" s="104">
        <v>115.2</v>
      </c>
      <c r="O46" s="105">
        <v>114.8</v>
      </c>
      <c r="P46" s="104">
        <v>117.1</v>
      </c>
      <c r="Q46" s="104">
        <v>119.1</v>
      </c>
      <c r="R46" s="104">
        <v>120.3</v>
      </c>
      <c r="S46" s="104">
        <v>122.7</v>
      </c>
      <c r="T46" s="104">
        <v>121.9</v>
      </c>
    </row>
    <row r="47" spans="1:20" ht="12.75" x14ac:dyDescent="0.2">
      <c r="A47" s="126" t="s">
        <v>171</v>
      </c>
      <c r="B47" s="82" t="s">
        <v>137</v>
      </c>
      <c r="C47" s="105">
        <v>85.3</v>
      </c>
      <c r="D47" s="105">
        <v>90.9</v>
      </c>
      <c r="E47" s="105">
        <v>98.8</v>
      </c>
      <c r="F47" s="105">
        <v>106.5</v>
      </c>
      <c r="G47" s="105">
        <v>115</v>
      </c>
      <c r="H47" s="105">
        <v>124</v>
      </c>
      <c r="I47" s="105">
        <v>133.4</v>
      </c>
      <c r="J47" s="105">
        <v>145.19999999999999</v>
      </c>
      <c r="K47" s="105">
        <v>152.6</v>
      </c>
      <c r="L47" s="105">
        <v>158.69999999999999</v>
      </c>
      <c r="M47" s="104">
        <v>164.5</v>
      </c>
      <c r="N47" s="104">
        <v>171.7</v>
      </c>
      <c r="O47" s="105">
        <v>177.1</v>
      </c>
      <c r="P47" s="104">
        <v>186.6</v>
      </c>
      <c r="Q47" s="104">
        <v>192.8</v>
      </c>
      <c r="R47" s="104">
        <v>203.8</v>
      </c>
      <c r="S47" s="104">
        <v>214.7</v>
      </c>
      <c r="T47" s="104">
        <v>222.8</v>
      </c>
    </row>
    <row r="48" spans="1:20" ht="12.75" x14ac:dyDescent="0.2">
      <c r="A48" s="126" t="s">
        <v>172</v>
      </c>
      <c r="B48" s="82" t="s">
        <v>173</v>
      </c>
      <c r="C48" s="105">
        <v>34.200000000000003</v>
      </c>
      <c r="D48" s="105">
        <v>42</v>
      </c>
      <c r="E48" s="105">
        <v>52.7</v>
      </c>
      <c r="F48" s="105">
        <v>55.7</v>
      </c>
      <c r="G48" s="105">
        <v>55.3</v>
      </c>
      <c r="H48" s="105">
        <v>54.7</v>
      </c>
      <c r="I48" s="105">
        <v>56</v>
      </c>
      <c r="J48" s="105">
        <v>56.1</v>
      </c>
      <c r="K48" s="105">
        <v>55.6</v>
      </c>
      <c r="L48" s="105">
        <v>55.2</v>
      </c>
      <c r="M48" s="104">
        <v>56.4</v>
      </c>
      <c r="N48" s="104">
        <v>54.9</v>
      </c>
      <c r="O48" s="105">
        <v>40.5</v>
      </c>
      <c r="P48" s="104">
        <v>38.200000000000003</v>
      </c>
      <c r="Q48" s="104">
        <v>50.3</v>
      </c>
      <c r="R48" s="104">
        <v>54</v>
      </c>
      <c r="S48" s="104">
        <v>55.9</v>
      </c>
      <c r="T48" s="104">
        <v>58.3</v>
      </c>
    </row>
    <row r="49" spans="1:20" ht="24.75" customHeight="1" x14ac:dyDescent="0.2">
      <c r="A49" s="126" t="s">
        <v>174</v>
      </c>
      <c r="B49" s="107" t="s">
        <v>56</v>
      </c>
      <c r="C49" s="105">
        <v>279.2</v>
      </c>
      <c r="D49" s="105">
        <v>287.39999999999998</v>
      </c>
      <c r="E49" s="105">
        <v>295</v>
      </c>
      <c r="F49" s="105">
        <v>300.2</v>
      </c>
      <c r="G49" s="105">
        <v>304.3</v>
      </c>
      <c r="H49" s="105">
        <v>313.39999999999998</v>
      </c>
      <c r="I49" s="105">
        <v>326.60000000000002</v>
      </c>
      <c r="J49" s="105">
        <v>336.7</v>
      </c>
      <c r="K49" s="105">
        <v>346.3</v>
      </c>
      <c r="L49" s="105">
        <v>356.2</v>
      </c>
      <c r="M49" s="104">
        <v>363.4</v>
      </c>
      <c r="N49" s="104">
        <v>373.6</v>
      </c>
      <c r="O49" s="105">
        <v>356.1</v>
      </c>
      <c r="P49" s="104">
        <v>356.3</v>
      </c>
      <c r="Q49" s="104">
        <v>385.1</v>
      </c>
      <c r="R49" s="104">
        <v>407.8</v>
      </c>
      <c r="S49" s="104">
        <v>424.2</v>
      </c>
      <c r="T49" s="104">
        <v>445.2</v>
      </c>
    </row>
    <row r="50" spans="1:20" ht="12.75" x14ac:dyDescent="0.2">
      <c r="A50" s="128" t="s">
        <v>277</v>
      </c>
      <c r="B50" s="108" t="s">
        <v>245</v>
      </c>
      <c r="C50" s="110">
        <v>22.6</v>
      </c>
      <c r="D50" s="110">
        <v>21.6</v>
      </c>
      <c r="E50" s="110">
        <v>22</v>
      </c>
      <c r="F50" s="110">
        <v>22.8</v>
      </c>
      <c r="G50" s="110">
        <v>24.5</v>
      </c>
      <c r="H50" s="110">
        <v>26.2</v>
      </c>
      <c r="I50" s="110">
        <v>26.9</v>
      </c>
      <c r="J50" s="110">
        <v>27.2</v>
      </c>
      <c r="K50" s="110">
        <v>27</v>
      </c>
      <c r="L50" s="110">
        <v>26.4</v>
      </c>
      <c r="M50" s="109">
        <v>26.2</v>
      </c>
      <c r="N50" s="109">
        <v>26.1</v>
      </c>
      <c r="O50" s="110">
        <v>26</v>
      </c>
      <c r="P50" s="109">
        <v>24.3</v>
      </c>
      <c r="Q50" s="109">
        <v>24.4</v>
      </c>
      <c r="R50" s="109">
        <v>24.8</v>
      </c>
      <c r="S50" s="109">
        <v>26.3</v>
      </c>
      <c r="T50" s="109">
        <v>26.5</v>
      </c>
    </row>
    <row r="51" spans="1:20" x14ac:dyDescent="0.2">
      <c r="A51" s="143" t="s">
        <v>59</v>
      </c>
      <c r="B51" s="9"/>
      <c r="C51" s="144"/>
      <c r="D51" s="144"/>
      <c r="H51" s="144"/>
      <c r="I51" s="144"/>
      <c r="J51" s="144"/>
      <c r="N51" s="144"/>
      <c r="O51" s="144"/>
      <c r="P51" s="144"/>
      <c r="Q51" s="144"/>
      <c r="R51" s="144"/>
      <c r="S51" s="144"/>
      <c r="T51" s="144"/>
    </row>
    <row r="52" spans="1:20" x14ac:dyDescent="0.2">
      <c r="A52" s="163" t="s">
        <v>175</v>
      </c>
      <c r="B52" s="163"/>
      <c r="C52" s="163"/>
      <c r="D52" s="163"/>
      <c r="E52" s="163"/>
      <c r="F52" s="163"/>
      <c r="G52" s="163"/>
      <c r="H52" s="163"/>
      <c r="I52" s="163"/>
      <c r="J52" s="163"/>
      <c r="K52" s="163"/>
      <c r="L52" s="163"/>
      <c r="M52" s="163"/>
      <c r="N52" s="163"/>
      <c r="O52" s="163"/>
      <c r="P52" s="163"/>
    </row>
    <row r="53" spans="1:20" x14ac:dyDescent="0.2">
      <c r="A53" s="161" t="s">
        <v>61</v>
      </c>
      <c r="B53" s="161"/>
      <c r="C53" s="161"/>
      <c r="D53" s="161"/>
      <c r="E53" s="161"/>
      <c r="F53" s="161"/>
      <c r="G53" s="161"/>
      <c r="H53" s="161"/>
      <c r="I53" s="161"/>
      <c r="J53" s="161"/>
      <c r="K53" s="161"/>
      <c r="L53" s="161"/>
      <c r="M53" s="161"/>
      <c r="N53" s="161"/>
      <c r="O53" s="161"/>
      <c r="P53" s="161"/>
    </row>
    <row r="54" spans="1:20" x14ac:dyDescent="0.2">
      <c r="A54" s="164" t="s">
        <v>176</v>
      </c>
      <c r="B54" s="164"/>
      <c r="C54" s="164"/>
      <c r="D54" s="164"/>
      <c r="E54" s="164"/>
      <c r="F54" s="164"/>
      <c r="G54" s="164"/>
      <c r="H54" s="164"/>
      <c r="I54" s="164"/>
      <c r="J54" s="164"/>
      <c r="K54" s="164"/>
      <c r="L54" s="164"/>
      <c r="M54" s="164"/>
      <c r="N54" s="164"/>
      <c r="O54" s="164"/>
      <c r="P54" s="164"/>
    </row>
    <row r="55" spans="1:20" x14ac:dyDescent="0.2">
      <c r="A55" s="164" t="s">
        <v>278</v>
      </c>
      <c r="B55" s="164"/>
      <c r="C55" s="164"/>
      <c r="D55" s="164"/>
      <c r="E55" s="164"/>
      <c r="F55" s="164"/>
      <c r="G55" s="164"/>
      <c r="H55" s="164"/>
      <c r="I55" s="164"/>
      <c r="J55" s="164"/>
      <c r="K55" s="164"/>
      <c r="L55" s="164"/>
      <c r="M55" s="164"/>
      <c r="N55" s="164"/>
      <c r="O55" s="164"/>
      <c r="P55" s="164"/>
    </row>
    <row r="56" spans="1:20" x14ac:dyDescent="0.2">
      <c r="A56" s="161" t="s">
        <v>276</v>
      </c>
      <c r="B56" s="161"/>
      <c r="C56" s="161"/>
      <c r="D56" s="161"/>
      <c r="E56" s="161"/>
      <c r="F56" s="161"/>
      <c r="G56" s="161"/>
      <c r="H56" s="161"/>
      <c r="I56" s="161"/>
      <c r="J56" s="161"/>
      <c r="K56" s="161"/>
      <c r="L56" s="161"/>
      <c r="M56" s="161"/>
      <c r="N56" s="161"/>
      <c r="O56" s="161"/>
      <c r="P56" s="161"/>
    </row>
  </sheetData>
  <mergeCells count="6">
    <mergeCell ref="A1:T1"/>
    <mergeCell ref="A56:P56"/>
    <mergeCell ref="A52:P52"/>
    <mergeCell ref="A53:P53"/>
    <mergeCell ref="A54:P54"/>
    <mergeCell ref="A55:P55"/>
  </mergeCells>
  <phoneticPr fontId="10" type="noConversion"/>
  <conditionalFormatting sqref="V4:V56">
    <cfRule type="containsText" dxfId="1" priority="1" operator="containsText" text="f">
      <formula>NOT(ISERROR(SEARCH("f",V4)))</formula>
    </cfRule>
  </conditionalFormatting>
  <conditionalFormatting sqref="V4:W4 W5:W50">
    <cfRule type="containsText" dxfId="0" priority="2" operator="containsText" text="f">
      <formula>NOT(ISERROR(SEARCH("f",V4)))</formula>
    </cfRule>
  </conditionalFormatting>
  <hyperlinks>
    <hyperlink ref="A2" location="Contents!A1" display="Contents!A1" xr:uid="{6E38C493-9B2E-4BC2-87DB-F350DAB89EC5}"/>
  </hyperlink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2026-03-20T02:00:00+00:00</iMAS_PublishDateTime>
    <_dlc_DocId xmlns="e5775c44-5034-46ee-b1b0-8650967f43ea">4XQ4D5TRQRHF-1623496119-1990</_dlc_DocId>
    <_dlc_DocIdUrl xmlns="e5775c44-5034-46ee-b1b0-8650967f43ea">
      <Url>http://stats.mom.gov.sg/_layouts/15/DocIdRedir.aspx?ID=4XQ4D5TRQRHF-1623496119-1990</Url>
      <Description>4XQ4D5TRQRHF-1623496119-1990</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CBCA50BC-0AA8-4B2C-92E9-FA4D1E2C10CF}"/>
</file>

<file path=customXml/itemProps2.xml><?xml version="1.0" encoding="utf-8"?>
<ds:datastoreItem xmlns:ds="http://schemas.openxmlformats.org/officeDocument/2006/customXml" ds:itemID="{148F1821-A50C-4191-AFEB-B23DEF084C3F}"/>
</file>

<file path=customXml/itemProps3.xml><?xml version="1.0" encoding="utf-8"?>
<ds:datastoreItem xmlns:ds="http://schemas.openxmlformats.org/officeDocument/2006/customXml" ds:itemID="{EF3549FA-FDED-4FCC-AD5C-526F33B5B9F8}"/>
</file>

<file path=customXml/itemProps4.xml><?xml version="1.0" encoding="utf-8"?>
<ds:datastoreItem xmlns:ds="http://schemas.openxmlformats.org/officeDocument/2006/customXml" ds:itemID="{18730D3F-81E6-42F5-84CA-E075AD9E96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Contents</vt:lpstr>
      <vt:lpstr>SSIC1996</vt:lpstr>
      <vt:lpstr>SSIC2005</vt:lpstr>
      <vt:lpstr>SSIC2020</vt:lpstr>
      <vt:lpstr>SSIC2005!Print_Titles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2026-03-19T04:34:48Z</dcterms:created>
  <dcterms:modified xsi:type="dcterms:W3CDTF">2026-03-19T04:34:55Z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2026-03-19T04:34:55Z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50598f6b-bce9-41fc-a2cb-8fd4e7c8b85d</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y fmtid="{D5CDD505-2E9C-101B-9397-08002B2CF9AE}" pid="10" name="ContentTypeId">
    <vt:lpwstr>0x01010061D1B60B48AE2C4381B419F34A85A18B</vt:lpwstr>
  </property>
  <property fmtid="{D5CDD505-2E9C-101B-9397-08002B2CF9AE}" pid="11" name="iMAS_Searchable">
    <vt:bool>false</vt:bool>
  </property>
  <property fmtid="{D5CDD505-2E9C-101B-9397-08002B2CF9AE}" pid="12" name="_dlc_DocIdItemGuid">
    <vt:lpwstr>9a01772a-32ee-4dfb-8416-888d391189c1</vt:lpwstr>
  </property>
  <property fmtid="{D5CDD505-2E9C-101B-9397-08002B2CF9AE}" pid="13" name="ReportMaster">
    <vt:lpwstr/>
  </property>
  <property fmtid="{D5CDD505-2E9C-101B-9397-08002B2CF9AE}" pid="14" name="Order">
    <vt:r8>199000</vt:r8>
  </property>
  <property fmtid="{D5CDD505-2E9C-101B-9397-08002B2CF9AE}" pid="15" name="Topic">
    <vt:lpwstr/>
  </property>
  <property fmtid="{D5CDD505-2E9C-101B-9397-08002B2CF9AE}" pid="16" name="iMAS_Keyword">
    <vt:lpwstr/>
  </property>
  <property fmtid="{D5CDD505-2E9C-101B-9397-08002B2CF9AE}" pid="17" name="Year">
    <vt:lpwstr/>
  </property>
  <property fmtid="{D5CDD505-2E9C-101B-9397-08002B2CF9AE}" pid="18" name="xd_Signature">
    <vt:bool>false</vt:bool>
  </property>
  <property fmtid="{D5CDD505-2E9C-101B-9397-08002B2CF9AE}" pid="19" name="xd_ProgID">
    <vt:lpwstr/>
  </property>
  <property fmtid="{D5CDD505-2E9C-101B-9397-08002B2CF9AE}" pid="20" name="_SourceUrl">
    <vt:lpwstr/>
  </property>
  <property fmtid="{D5CDD505-2E9C-101B-9397-08002B2CF9AE}" pid="21" name="_SharedFileIndex">
    <vt:lpwstr/>
  </property>
  <property fmtid="{D5CDD505-2E9C-101B-9397-08002B2CF9AE}" pid="22" name="TaxCatchAll">
    <vt:lpwstr/>
  </property>
  <property fmtid="{D5CDD505-2E9C-101B-9397-08002B2CF9AE}" pid="23" name="TemplateUrl">
    <vt:lpwstr/>
  </property>
  <property fmtid="{D5CDD505-2E9C-101B-9397-08002B2CF9AE}" pid="24" name="iMAS_Description">
    <vt:lpwstr/>
  </property>
  <property fmtid="{D5CDD505-2E9C-101B-9397-08002B2CF9AE}" pid="25" name="Quarter">
    <vt:lpwstr/>
  </property>
  <property fmtid="{D5CDD505-2E9C-101B-9397-08002B2CF9AE}" pid="26" name="ComplianceAssetId">
    <vt:lpwstr/>
  </property>
  <property fmtid="{D5CDD505-2E9C-101B-9397-08002B2CF9AE}" pid="27" name="iMAS_Image_Url">
    <vt:lpwstr/>
  </property>
  <property fmtid="{D5CDD505-2E9C-101B-9397-08002B2CF9AE}" pid="28" name="DocumentType">
    <vt:lpwstr/>
  </property>
  <property fmtid="{D5CDD505-2E9C-101B-9397-08002B2CF9AE}" pid="29" name="iMAS_LongTitle">
    <vt:lpwstr/>
  </property>
  <property fmtid="{D5CDD505-2E9C-101B-9397-08002B2CF9AE}" pid="30" name="iMAS_Notes">
    <vt:lpwstr/>
  </property>
  <property fmtid="{D5CDD505-2E9C-101B-9397-08002B2CF9AE}" pid="31" name="iMAS_Archive">
    <vt:bool>false</vt:bool>
  </property>
</Properties>
</file>